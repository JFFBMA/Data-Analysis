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D:\Documentos\Educacion\Tripleten\Sprints\S4 - Analiza journeys de usuarui con SQL\Cap5 - Proyecto 4 Análisis de embudo y retención para MercadoLibre\"/>
    </mc:Choice>
  </mc:AlternateContent>
  <xr:revisionPtr revIDLastSave="0" documentId="13_ncr:1_{9958D38F-DA21-4421-96A9-65930FF12584}" xr6:coauthVersionLast="47" xr6:coauthVersionMax="47" xr10:uidLastSave="{00000000-0000-0000-0000-000000000000}"/>
  <bookViews>
    <workbookView xWindow="-120" yWindow="-120" windowWidth="19440" windowHeight="15150" tabRatio="762" xr2:uid="{00000000-000D-0000-FFFF-FFFF00000000}"/>
  </bookViews>
  <sheets>
    <sheet name="Informe Ejecutivo" sheetId="1" r:id="rId1"/>
    <sheet name="Embudo General" sheetId="2" r:id="rId2"/>
    <sheet name="Embudo General x Pais" sheetId="3" r:id="rId3"/>
    <sheet name="Retencion x Pais" sheetId="4" r:id="rId4"/>
    <sheet name="Retencion x Cohort" sheetId="5" r:id="rId5"/>
  </sheets>
  <definedNames>
    <definedName name="_xlnm._FilterDatabase" localSheetId="3" hidden="1">'Retencion x Pais'!$A$1:$J$12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5" l="1"/>
  <c r="D36" i="5"/>
  <c r="C36" i="5"/>
  <c r="B36" i="5"/>
  <c r="E35" i="5"/>
  <c r="D35" i="5"/>
  <c r="C35" i="5"/>
  <c r="B35" i="5"/>
  <c r="E34" i="5"/>
  <c r="D34" i="5"/>
  <c r="C34" i="5"/>
  <c r="B34" i="5"/>
  <c r="E33" i="5"/>
  <c r="D33" i="5"/>
  <c r="C33" i="5"/>
  <c r="B33" i="5"/>
  <c r="E32" i="5"/>
  <c r="D32" i="5"/>
  <c r="C32" i="5"/>
  <c r="B32" i="5"/>
  <c r="E31" i="5"/>
  <c r="D31" i="5"/>
  <c r="C31" i="5"/>
  <c r="B31" i="5"/>
  <c r="E30" i="5"/>
  <c r="D30" i="5"/>
  <c r="C30" i="5"/>
  <c r="B30" i="5"/>
  <c r="E29" i="5"/>
  <c r="D29" i="5"/>
  <c r="C29" i="5"/>
  <c r="B29" i="5"/>
  <c r="E28" i="5"/>
  <c r="D28" i="5"/>
  <c r="C28" i="5"/>
  <c r="B28" i="5"/>
  <c r="E27" i="5"/>
  <c r="D27" i="5"/>
  <c r="C27" i="5"/>
  <c r="B27" i="5"/>
  <c r="E26" i="5"/>
  <c r="D26" i="5"/>
  <c r="C26" i="5"/>
  <c r="B26" i="5"/>
  <c r="F25" i="5"/>
  <c r="F24" i="5"/>
  <c r="F23" i="5"/>
  <c r="F22" i="5"/>
  <c r="F21" i="5"/>
  <c r="F20" i="5"/>
  <c r="F19" i="5"/>
  <c r="F18" i="5"/>
  <c r="F17" i="5"/>
  <c r="F16" i="5"/>
  <c r="E10" i="5"/>
  <c r="D10" i="5"/>
  <c r="C10" i="5"/>
  <c r="B10" i="5"/>
  <c r="F9" i="5"/>
  <c r="F8" i="5"/>
  <c r="F7" i="5"/>
  <c r="F6" i="5"/>
  <c r="F5" i="5"/>
  <c r="F4" i="5"/>
  <c r="F3" i="5"/>
  <c r="F2" i="5"/>
</calcChain>
</file>

<file path=xl/sharedStrings.xml><?xml version="1.0" encoding="utf-8"?>
<sst xmlns="http://schemas.openxmlformats.org/spreadsheetml/2006/main" count="146" uniqueCount="89">
  <si>
    <t>conversion_select_item</t>
  </si>
  <si>
    <t>country</t>
  </si>
  <si>
    <t>conversion_add_to_cart</t>
  </si>
  <si>
    <t>conversion_begin_checkout</t>
  </si>
  <si>
    <t>conversion_add_shipping_info</t>
  </si>
  <si>
    <t>conversion_add_payment_info</t>
  </si>
  <si>
    <t>conversion_purchase</t>
  </si>
  <si>
    <t>retention_d7_pct</t>
  </si>
  <si>
    <t>retention_d14_pct</t>
  </si>
  <si>
    <t>retention_d21_pct</t>
  </si>
  <si>
    <t>retention_d28_pct</t>
  </si>
  <si>
    <t>Argentina</t>
  </si>
  <si>
    <t>porcentaje de conversión desde la etapa inicial fija (first_visit) hacia cada etapa.</t>
  </si>
  <si>
    <t>Contexto</t>
  </si>
  <si>
    <t>Bolivia</t>
  </si>
  <si>
    <t>Hallazgo</t>
  </si>
  <si>
    <t>Brazil</t>
  </si>
  <si>
    <t>Chile</t>
  </si>
  <si>
    <t>Implicación</t>
  </si>
  <si>
    <t>Colombia</t>
  </si>
  <si>
    <t>Ecuador</t>
  </si>
  <si>
    <r>
      <rPr>
        <b/>
        <sz val="10"/>
        <color theme="1"/>
        <rFont val="Arial"/>
      </rPr>
      <t xml:space="preserve">Entre el [01/01/2025] y el [08/31/2025], ¿cuál es la tasa de conversión entre cada etapa clave del embudo.
</t>
    </r>
    <r>
      <rPr>
        <sz val="10"/>
        <color theme="1"/>
        <rFont val="Arial"/>
      </rPr>
      <t xml:space="preserve">
🔹 ¿En qué paso se observa la mayor caída porcentual de usuarios?
🔹 ¿Cómo varía esta pérdida por país (country)?</t>
    </r>
  </si>
  <si>
    <t>Uruguay</t>
  </si>
  <si>
    <t>Mexico</t>
  </si>
  <si>
    <t>Paraguay</t>
  </si>
  <si>
    <t>Peru</t>
  </si>
  <si>
    <r>
      <rPr>
        <sz val="10"/>
        <color theme="1"/>
        <rFont val="Arial"/>
      </rPr>
      <t xml:space="preserve">🔹Se realiza el análisis del funnel de conversión por etapa y luego segmentando por países para MercadoLibre para identificar en qué etapas del proceso se presentan las mayores pérdidas de usuarios y determinar si existen diferencias relevantes entre países. 
🔹Análisis entre el rango de fechas 2025-01-01 → 2025-08-31.
🔹Cantidad de usuarios y porcentajes calculados </t>
    </r>
    <r>
      <rPr>
        <b/>
        <sz val="10"/>
        <color theme="1"/>
        <rFont val="Arial"/>
      </rPr>
      <t>desde la primera visita</t>
    </r>
    <r>
      <rPr>
        <sz val="10"/>
        <color theme="1"/>
        <rFont val="Arial"/>
      </rPr>
      <t xml:space="preserve"> (first_visit) hasta cada una de las etapas.
🔹Nos aseguramos de que se incluyeron todos los usuarios con alguna etapa en el embudo de conversión.
🔹Se evitaron usuarios duplicados.
🔹Se tomaron en cuenta los siguientes eventos como embudo de conversión : first_visit, select_item, add_to_cart, begin_checkout, add_shipping_info, add_payment_info y purchase.
INDICADORES DISPONIBLES
🔹Tasa de conversión desde la primera etapa : para evaluar la eficiencia de cada etapa dentro del funnel
🔹Tasa de conversión segmentada por países :para evaluar la eficiencia de cada etapa por país</t>
    </r>
  </si>
  <si>
    <t>cohort</t>
  </si>
  <si>
    <t>porcentajes de retención por país al día 7, día 14, día 21 y día 28.</t>
  </si>
  <si>
    <t xml:space="preserve">PORCENTAJE DE CONVERSIÓN
🔹La principal fricción del funnel se observa entre entre la selección del producto y la incorporación al carrito que presenta una caída del 76.89% al 11% de conversión respectivamente desde el la visita inicial. Eso representa una caída del 85,7% de los usuarios que habían seleccionado un producto y la incorporación al carrito, el mayor salto de pérdida del funnel.
PORCENTAJE DE CONVERSIÓN POR PAIS
🔹En todos los países se observa una caída importante generalizada de la tasa de conversión en  la incorporación al carrito, destacando a Argentina con 8.75%.
🔹El país con un comportamiento menos crítico en  la incorporación al carrito es Uruguay con un 22.73%.
</t>
  </si>
  <si>
    <t>🔹prioridad de optimización: Para todos los países, es muy importante mejorar el proceso mediante el cual un usuario o cliente llega Y REALIZA la incorporación al carrito, con el fin de que tarde menos tiempo, sea más fácil de completar o entienda mejor qué debe hacer y aumentar su tasa de conversión.
🔹Uruguay puede servir como benchmark para identificar qué prácticas estan haciendo para lograr la mayor conversión registrada.
🔹Se sugiere incluir el cálculo del drop-off entre cada etapa.</t>
  </si>
  <si>
    <r>
      <rPr>
        <b/>
        <sz val="10"/>
        <color theme="1"/>
        <rFont val="Arial"/>
      </rPr>
      <t>¿Qué tan bien retenemos a los usuarios a lo largo del tiempo?</t>
    </r>
    <r>
      <rPr>
        <sz val="10"/>
        <color theme="1"/>
        <rFont val="Arial"/>
      </rPr>
      <t xml:space="preserve">
🔹 Para los usuarios que se registraron entre el [01/01/2025] y el [06/01/2025], ¿cuál es la tasa de retención en D7, D14, D21, D28?
🔹 *¿Cómo se comporta la retención agrupados por país (`country`)?
</t>
    </r>
  </si>
  <si>
    <t>🔹Análisis entre el rango de fechas 2025-01-01 → 2025-08-31.
🔹Porcentaje de retención de usuarios ACTIVOS por país, en dias D7, D14, D21 y D28 desde su registro.
🔹Porcentaje de retención por cohortes mensuales desde su primera fecha de registro para  los períodos D7, D14, D21 y D28.
🔹Se evitaron usuarios duplicados.
INDICADORES DISPONIBLES
🔹Tasa de retención por cohorte 
🔹Tasa de retención por países</t>
  </si>
  <si>
    <t>agrupa las conversiones del embudo por país (country) y detecta en que etapa del funnel se pierde más a los usuarios.</t>
  </si>
  <si>
    <t>RETENCIÓN POR COHORTE
🔹Para los usuarios que se registraron entre el [01/01/2025] y el [06/01/2025] la tasa retención en 
D7 es 86.2%
D14 es 56.2%
D21 es 24.1%
D28 es 3.0%.
🔹 La cohorte 2025-08 rompe completamente el patrón con respecto a los otros cohortes que son relativamente estables, especialmente en D14, D21 y D28.
🔹La cohorte 2025-08 pierde usuarios mucho más rápidamente durante las primeras dos semanas.
RETENCIÓN POR PAÍS
🔹La mayor pérdida de porcentaje de retenciones por país se presenta del D21 al D28
🔹Perú tiene el mejor porcentaje de.retención en D28 con 3.20%
🔹México, el único país de Centroamérica, presenta el mejor % de retención PROMEDIO de todos los países.</t>
  </si>
  <si>
    <t>dónde se pierden más usuarios y qué etapa o país optimizar.</t>
  </si>
  <si>
    <t>🔹Se debe investigar qué cambió en agosto: adquisición de usuarios, campañas, producto, onboarding, experiencia de usuario, calidad del tráfico o incluso la correcta medición de la retención.
🔹México y Brasil pueden considerarse mercados de referencia para estudiar qué factores están favoreciendo la retención.
🔹Bolivia debería investigarse especialmente en términos de activación y generación de hábito durante las primeras tres semanas, identificando qué factores explican la pérdida progresiva de usuarios.</t>
  </si>
  <si>
    <t>comparar la eficiencia de cada paso y priorizar dónde optimizar.</t>
  </si>
  <si>
    <t>Cálculo de  la pérdida entre "select_item" y "add_to_cart"</t>
  </si>
  <si>
    <t>Reflexión personal</t>
  </si>
  <si>
    <t>select_item = 76.8974%</t>
  </si>
  <si>
    <t>add_to_cart = 11.0092%</t>
  </si>
  <si>
    <t>=&gt; obtener la conversión de select_item→ add_to_cart: 11.0092 / 76.8974 = 0.1431</t>
  </si>
  <si>
    <t>- ¿Qué etapa mejorarías primero?</t>
  </si>
  <si>
    <r>
      <rPr>
        <sz val="10"/>
        <color theme="1"/>
        <rFont val="Arial"/>
      </rPr>
      <t xml:space="preserve">=&gt; Calculamos la pérdida : 1 − 0.1431 = 0.8569 aprox. </t>
    </r>
    <r>
      <rPr>
        <b/>
        <sz val="10"/>
        <color rgb="FFEA4335"/>
        <rFont val="Arial"/>
      </rPr>
      <t>85.7%</t>
    </r>
  </si>
  <si>
    <t>Cálculo de  la pérdida entre "add_payment_info" y "purchase"</t>
  </si>
  <si>
    <t>add_payment_info = 2.08507%</t>
  </si>
  <si>
    <t>Dif max - min</t>
  </si>
  <si>
    <t>purchase = 1.25104%</t>
  </si>
  <si>
    <t>La etapa "add_to_cart" debería ser la primera prioridad de optimización, investigando factores como precio, costos de envío, disponibilidad, confianza, condiciones del producto, promociones y experiencia de usuario.</t>
  </si>
  <si>
    <t>=&gt; obtener la conversión de add_payment_info → purchase: 1.25104 / 2.08507 = 0,5999</t>
  </si>
  <si>
    <r>
      <rPr>
        <sz val="10"/>
        <color theme="1"/>
        <rFont val="Arial"/>
      </rPr>
      <t xml:space="preserve">=&gt; Calculamos la pérdida : 1 − 0,5999 = 0,4000 aprox </t>
    </r>
    <r>
      <rPr>
        <b/>
        <sz val="10"/>
        <color rgb="FFEA4335"/>
        <rFont val="Arial"/>
      </rPr>
      <t>40%</t>
    </r>
  </si>
  <si>
    <t>- ¿Qué aprendiste sobre el comportamiento del usuario?</t>
  </si>
  <si>
    <t>retención por cohorte en D7/D14/D21/D28 y resultados comparables entre cohortes.</t>
  </si>
  <si>
    <t>En el contexto de este ejercicio, aprendí que el comportamiento del usuario presenta una fuerte pérdida a medida que avanza por el funnel de compra. La mayor fricción se encuentra entre la selección del producto y la incorporación al carrito, lo que indica que muchos usuarios muestran interés, pero no llegan a iniciar efectivamente el proceso de compra. También observamos diferencias importantes entre países: algunos usuarios avanzan con mayor facilidad hasta la compra, mientras que en otros existen pérdidas importantes en las etapas finales. Esto sugiere que el comportamiento del usuario no es homogéneo y que las estrategias de optimización deberían considerar tanto la etapa del funnel como las particularidades de cada mercado.</t>
  </si>
  <si>
    <t>Promedio por País</t>
  </si>
  <si>
    <t>Otros Hallazgos:</t>
  </si>
  <si>
    <t>TASA DE CONVERSIÓN</t>
  </si>
  <si>
    <t>🔹La etapa "begin_checkout" presenta una caída de conversión del 11% en "add_to_cart" al 4%, no tan drástica como la etapa  "add_to_cart", pero merece atención porque no deja de ser una caída importante en la conversión.</t>
  </si>
  <si>
    <t>🔹Entre la etapa de "add_payment_info" y "purchase" hay una caída del 2,09% al 1,25%,. Incluso después de que el usuario proporciona información de pago, existe una pérdida relevante antes de concretar la compra.</t>
  </si>
  <si>
    <t>🔹Aproximadamente el 40% de los usuarios que llegan a "add_payment_info" no llegan a "purchase".</t>
  </si>
  <si>
    <t>🔹Las tres últimas etapas presentan tasas de conversión similares.</t>
  </si>
  <si>
    <t>🔹El comportamiento final del funnel en el "purchase" muestra una diferencia entre Uruguay con un 4,55% y Ecuador, Colombia y Paraguay con 0% lo cual indica que existe heterogeneidad entre países. El comportamiento del funnel no es homogéneo entre mercados.</t>
  </si>
  <si>
    <t>🔹Todos los países presentan un buen crecimiento similar en la primera etapa "select_item".</t>
  </si>
  <si>
    <t>🔹Paraguay presenta una fricción importante antes del inicio del proceso de checkout..</t>
  </si>
  <si>
    <t>🔹En los países de Colombia y Ecuador hay usuarios que avanzan dentro del proceso de compra, pero al final no concluyen su proceso de compra con un 0% de conversión. NO COMPRAN</t>
  </si>
  <si>
    <t>🔹CASO INTERESANTE DE ESTUDIO, URUGUAY :A pesar de que este país presenta una disminución importante en el momento de agregar al carrito, en las siguientes etapas se mantiene constante la participación de los usuarios hasta completar todo el proceso.</t>
  </si>
  <si>
    <t>TASA DE RETENCIÓN</t>
  </si>
  <si>
    <t>RETENCIÓN POR COHORTE</t>
  </si>
  <si>
    <t>🔹La cohorte 2025-03 presenta la mayor tasa de retención para todos los períodos.</t>
  </si>
  <si>
    <t>🔹La cohorte 2025-08 presenta la menor tasa de retención para todos los períodos.</t>
  </si>
  <si>
    <t>🔹En el período D28 no hay una diferencia (1%) significativa entre el mayor y menor porcentaje de retención SIN INCLUIR LA COHORTE DE AGOSTO.</t>
  </si>
  <si>
    <t>🔹Las cohortes de enero a julio presentan niveles de retención relativamente consistentes en los diferentes períodos de observación son bastante homogéneas.</t>
  </si>
  <si>
    <t>🔹En la retención D14, La cohorte 2025-08 está aproximadamente 26 puntos porcentuales por debajo del comportamiento habitual (promedio) de las otras cohortes.</t>
  </si>
  <si>
    <t>RETENCIÓN POR PAÍS</t>
  </si>
  <si>
    <t>🔹Colombia no tiene el peor desempeño en las primeras semanas, pero sí presenta la retención D28 más baja.</t>
  </si>
  <si>
    <t>Perdida entre retenciones</t>
  </si>
  <si>
    <t>🔹En Bolivia la retención cae hasta 19,2% en D21, siendo el valor más bajo entre los países analizados.</t>
  </si>
  <si>
    <t>🔹En Ecuador, D7 alcanza solamente 79,1%, y la retención continúa descendiendo hasta 20,6% en D21.</t>
  </si>
  <si>
    <t>Otras acciones</t>
  </si>
  <si>
    <t>🔹Es necesario investigar posibles problemas en la etapa final de transacción: errores de pago, rechazo de medios de pago, cambios de precio, costos adicionales, problemas técnicos o abandono antes de confirmar la compra.</t>
  </si>
  <si>
    <t>🔹No debería aplicarse necesariamente una única estrategia de optimización para todos los mercados. Es necesario analizar el funnel por país para identificar problemas específicos de cada mercado.</t>
  </si>
  <si>
    <t>🔹En el caso de Colombia y Ecuador, un purchase = 0% acompañado de add_payment_info de 2,42% y 1.69% respectivamente puede representar un problema real de conversión, pero también podría indicar que el evento "purchase" no está registrándose correctamente. Conviene validar el tracking antes de recomendar cambios de negocio.</t>
  </si>
  <si>
    <t>🔹Se debería investigar qué ocurre entre D21 y D28 en Colombia, particularmente factores relacionados con recurrencia, frecuencia de uso, experiencia del producto y generación de hábito.</t>
  </si>
  <si>
    <t>🔹En Ecuador la prioridad debería estar en comprender la experiencia inicial del usuario, especialmente onboarding, activación y propuesta de valor durante los primeros días.</t>
  </si>
  <si>
    <t>🔹</t>
  </si>
  <si>
    <t>Conclusión de Tasa de retención por países</t>
  </si>
  <si>
    <t>La retención presenta comportamientos diferenciados por mercado: mientras México y Brasil muestran mayor capacidad de mantener usuarios, Ecuador concentra la pérdida en las primeras semanas, Bolivia alrededor de D21 y Colombia presenta una caída particularmente marcada hacia D28.</t>
  </si>
  <si>
    <t>Análisis de embudo y retención para MercadoLibre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</si>
</sst>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17" x14ac:knownFonts="1">
    <font>
      <sz val="10"/>
      <color rgb="FF000000"/>
      <name val="Arial"/>
      <scheme val="minor"/>
    </font>
    <font>
      <b/>
      <sz val="10"/>
      <color theme="1"/>
      <name val="Arial"/>
      <scheme val="minor"/>
    </font>
    <font>
      <sz val="10"/>
      <color theme="1"/>
      <name val="Arial"/>
      <scheme val="minor"/>
    </font>
    <font>
      <b/>
      <sz val="12"/>
      <color theme="1"/>
      <name val="Arial"/>
      <scheme val="minor"/>
    </font>
    <font>
      <b/>
      <sz val="10"/>
      <color rgb="FFFF0000"/>
      <name val="Arial"/>
      <scheme val="minor"/>
    </font>
    <font>
      <sz val="10"/>
      <color rgb="FF00FF00"/>
      <name val="Arial"/>
      <scheme val="minor"/>
    </font>
    <font>
      <sz val="10"/>
      <name val="Arial"/>
    </font>
    <font>
      <sz val="10"/>
      <color rgb="FFFF0000"/>
      <name val="Arial"/>
      <scheme val="minor"/>
    </font>
    <font>
      <b/>
      <sz val="10"/>
      <color rgb="FF990000"/>
      <name val="Arial"/>
      <scheme val="minor"/>
    </font>
    <font>
      <b/>
      <sz val="11"/>
      <color theme="1"/>
      <name val="Arial"/>
      <scheme val="minor"/>
    </font>
    <font>
      <sz val="10"/>
      <color rgb="FF1F1F1F"/>
      <name val="Roboto"/>
    </font>
    <font>
      <b/>
      <sz val="10"/>
      <color rgb="FFCC0000"/>
      <name val="Arial"/>
      <scheme val="minor"/>
    </font>
    <font>
      <b/>
      <sz val="10"/>
      <color theme="5"/>
      <name val="Arial"/>
      <scheme val="minor"/>
    </font>
    <font>
      <b/>
      <sz val="10"/>
      <color theme="1"/>
      <name val="Arial"/>
    </font>
    <font>
      <sz val="10"/>
      <color theme="1"/>
      <name val="Arial"/>
    </font>
    <font>
      <b/>
      <sz val="10"/>
      <color rgb="FFEA4335"/>
      <name val="Arial"/>
    </font>
    <font>
      <b/>
      <sz val="11"/>
      <color theme="1"/>
      <name val="Arial"/>
      <family val="2"/>
      <scheme val="minor"/>
    </font>
  </fonts>
  <fills count="5">
    <fill>
      <patternFill patternType="none"/>
    </fill>
    <fill>
      <patternFill patternType="gray125"/>
    </fill>
    <fill>
      <patternFill patternType="solid">
        <fgColor rgb="FFF1C232"/>
        <bgColor rgb="FFF1C232"/>
      </patternFill>
    </fill>
    <fill>
      <patternFill patternType="solid">
        <fgColor rgb="FFD9D9D9"/>
        <bgColor rgb="FFD9D9D9"/>
      </patternFill>
    </fill>
    <fill>
      <patternFill patternType="solid">
        <fgColor rgb="FFF8FAFD"/>
        <bgColor rgb="FFF8FAFD"/>
      </patternFill>
    </fill>
  </fills>
  <borders count="30">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top style="thin">
        <color rgb="FF000000"/>
      </top>
      <bottom/>
      <diagonal/>
    </border>
    <border>
      <left/>
      <right/>
      <top style="thin">
        <color rgb="FF000000"/>
      </top>
      <bottom/>
      <diagonal/>
    </border>
    <border>
      <left style="thick">
        <color rgb="FF000000"/>
      </left>
      <right/>
      <top style="thick">
        <color rgb="FF000000"/>
      </top>
      <bottom style="thick">
        <color rgb="FF000000"/>
      </bottom>
      <diagonal/>
    </border>
    <border>
      <left/>
      <right style="thin">
        <color rgb="FF000000"/>
      </right>
      <top style="thin">
        <color rgb="FF000000"/>
      </top>
      <bottom/>
      <diagonal/>
    </border>
    <border>
      <left/>
      <right/>
      <top style="thick">
        <color rgb="FF000000"/>
      </top>
      <bottom style="thick">
        <color rgb="FF000000"/>
      </bottom>
      <diagonal/>
    </border>
    <border>
      <left style="thin">
        <color rgb="FF000000"/>
      </left>
      <right/>
      <top/>
      <bottom/>
      <diagonal/>
    </border>
    <border>
      <left/>
      <right style="thick">
        <color rgb="FF000000"/>
      </right>
      <top style="thick">
        <color rgb="FF000000"/>
      </top>
      <bottom style="thick">
        <color rgb="FF000000"/>
      </bottom>
      <diagonal/>
    </border>
    <border>
      <left/>
      <right style="thin">
        <color rgb="FF000000"/>
      </right>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n">
        <color rgb="FF000000"/>
      </left>
      <right/>
      <top/>
      <bottom style="thin">
        <color rgb="FF000000"/>
      </bottom>
      <diagonal/>
    </border>
    <border>
      <left/>
      <right style="thick">
        <color rgb="FF000000"/>
      </right>
      <top style="thick">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style="thin">
        <color rgb="FFC4C7C5"/>
      </top>
      <bottom/>
      <diagonal/>
    </border>
  </borders>
  <cellStyleXfs count="1">
    <xf numFmtId="0" fontId="0" fillId="0" borderId="0"/>
  </cellStyleXfs>
  <cellXfs count="58">
    <xf numFmtId="0" fontId="0" fillId="0" borderId="0" xfId="0"/>
    <xf numFmtId="0" fontId="1" fillId="0" borderId="0" xfId="0" applyFont="1"/>
    <xf numFmtId="0" fontId="2" fillId="0" borderId="0" xfId="0" applyFont="1" applyAlignment="1">
      <alignment wrapText="1"/>
    </xf>
    <xf numFmtId="0" fontId="2" fillId="0" borderId="0" xfId="0" applyFont="1"/>
    <xf numFmtId="0" fontId="2" fillId="2" borderId="1" xfId="0" applyFont="1" applyFill="1" applyBorder="1" applyAlignment="1">
      <alignment wrapText="1"/>
    </xf>
    <xf numFmtId="164" fontId="2" fillId="0" borderId="0" xfId="0" applyNumberFormat="1" applyFont="1"/>
    <xf numFmtId="0" fontId="3" fillId="2" borderId="2" xfId="0" applyFont="1" applyFill="1" applyBorder="1"/>
    <xf numFmtId="0" fontId="3" fillId="2" borderId="3" xfId="0" applyFont="1" applyFill="1" applyBorder="1"/>
    <xf numFmtId="0" fontId="2" fillId="0" borderId="4" xfId="0" applyFont="1" applyBorder="1" applyAlignment="1">
      <alignment vertical="top" wrapText="1"/>
    </xf>
    <xf numFmtId="0" fontId="4" fillId="0" borderId="0" xfId="0" applyFont="1"/>
    <xf numFmtId="2" fontId="2" fillId="0" borderId="0" xfId="0" applyNumberFormat="1" applyFont="1"/>
    <xf numFmtId="0" fontId="2" fillId="0" borderId="5" xfId="0" applyFont="1" applyBorder="1" applyAlignment="1">
      <alignment vertical="top" wrapText="1"/>
    </xf>
    <xf numFmtId="165" fontId="2" fillId="0" borderId="0" xfId="0" applyNumberFormat="1" applyFont="1" applyAlignment="1">
      <alignment horizontal="left"/>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2" fontId="5" fillId="0" borderId="0" xfId="0" applyNumberFormat="1" applyFont="1"/>
    <xf numFmtId="0" fontId="1" fillId="0" borderId="9" xfId="0" applyFont="1" applyBorder="1"/>
    <xf numFmtId="0" fontId="5" fillId="0" borderId="0" xfId="0" applyFont="1"/>
    <xf numFmtId="0" fontId="2" fillId="0" borderId="10" xfId="0" applyFont="1" applyBorder="1"/>
    <xf numFmtId="0" fontId="2" fillId="0" borderId="12" xfId="0" applyFont="1" applyBorder="1"/>
    <xf numFmtId="0" fontId="2" fillId="0" borderId="14" xfId="0" applyFont="1" applyBorder="1"/>
    <xf numFmtId="0" fontId="2" fillId="0" borderId="16" xfId="0" applyFont="1" applyBorder="1"/>
    <xf numFmtId="0" fontId="1" fillId="0" borderId="0" xfId="0" applyFont="1" applyAlignment="1">
      <alignment vertical="center"/>
    </xf>
    <xf numFmtId="0" fontId="2" fillId="0" borderId="0" xfId="0" quotePrefix="1" applyFont="1"/>
    <xf numFmtId="2" fontId="7" fillId="0" borderId="0" xfId="0" applyNumberFormat="1" applyFont="1"/>
    <xf numFmtId="0" fontId="2" fillId="0" borderId="19" xfId="0" applyFont="1" applyBorder="1"/>
    <xf numFmtId="0" fontId="2" fillId="0" borderId="21" xfId="0" applyFont="1" applyBorder="1"/>
    <xf numFmtId="2" fontId="8" fillId="0" borderId="0" xfId="0" applyNumberFormat="1" applyFont="1"/>
    <xf numFmtId="0" fontId="2" fillId="0" borderId="22" xfId="0" applyFont="1" applyBorder="1"/>
    <xf numFmtId="0" fontId="8" fillId="0" borderId="0" xfId="0" applyFont="1"/>
    <xf numFmtId="2" fontId="9" fillId="0" borderId="0" xfId="0" applyNumberFormat="1" applyFont="1"/>
    <xf numFmtId="0" fontId="1" fillId="0" borderId="0" xfId="0" applyFont="1" applyAlignment="1">
      <alignment horizontal="right"/>
    </xf>
    <xf numFmtId="0" fontId="10" fillId="4" borderId="0" xfId="0" applyFont="1" applyFill="1"/>
    <xf numFmtId="0" fontId="7" fillId="0" borderId="0" xfId="0" applyFont="1" applyAlignment="1">
      <alignment wrapText="1"/>
    </xf>
    <xf numFmtId="2" fontId="11" fillId="0" borderId="0" xfId="0" applyNumberFormat="1" applyFont="1"/>
    <xf numFmtId="0" fontId="10" fillId="4" borderId="29" xfId="0" applyFont="1" applyFill="1" applyBorder="1"/>
    <xf numFmtId="2" fontId="12" fillId="0" borderId="0" xfId="0" applyNumberFormat="1" applyFont="1"/>
    <xf numFmtId="10" fontId="2" fillId="0" borderId="0" xfId="0" applyNumberFormat="1" applyFont="1"/>
    <xf numFmtId="10" fontId="4" fillId="0" borderId="0" xfId="0" applyNumberFormat="1" applyFont="1"/>
    <xf numFmtId="0" fontId="2" fillId="0" borderId="0" xfId="0" applyFont="1" applyAlignment="1">
      <alignment wrapText="1"/>
    </xf>
    <xf numFmtId="0" fontId="0" fillId="0" borderId="0" xfId="0"/>
    <xf numFmtId="0" fontId="2" fillId="3" borderId="0" xfId="0" applyFont="1" applyFill="1" applyAlignment="1">
      <alignment wrapText="1"/>
    </xf>
    <xf numFmtId="0" fontId="7" fillId="0" borderId="0" xfId="0" applyFont="1" applyAlignment="1">
      <alignment wrapText="1"/>
    </xf>
    <xf numFmtId="0" fontId="1" fillId="2" borderId="11" xfId="0" applyFont="1" applyFill="1" applyBorder="1" applyAlignment="1">
      <alignment horizontal="center" wrapText="1"/>
    </xf>
    <xf numFmtId="0" fontId="6" fillId="0" borderId="13" xfId="0" applyFont="1" applyBorder="1"/>
    <xf numFmtId="0" fontId="6" fillId="0" borderId="15" xfId="0" applyFont="1" applyBorder="1"/>
    <xf numFmtId="0" fontId="1" fillId="0" borderId="17" xfId="0" applyFont="1" applyBorder="1" applyAlignment="1">
      <alignment vertical="center" wrapText="1"/>
    </xf>
    <xf numFmtId="0" fontId="6" fillId="0" borderId="18" xfId="0" applyFont="1" applyBorder="1"/>
    <xf numFmtId="0" fontId="6" fillId="0" borderId="20" xfId="0" applyFont="1" applyBorder="1"/>
    <xf numFmtId="0" fontId="2" fillId="0" borderId="23" xfId="0" applyFont="1" applyBorder="1" applyAlignment="1">
      <alignment wrapText="1"/>
    </xf>
    <xf numFmtId="0" fontId="6" fillId="0" borderId="24" xfId="0" applyFont="1" applyBorder="1"/>
    <xf numFmtId="0" fontId="6" fillId="0" borderId="25" xfId="0" applyFont="1" applyBorder="1"/>
    <xf numFmtId="0" fontId="2" fillId="0" borderId="26" xfId="0" applyFont="1" applyBorder="1" applyAlignment="1">
      <alignment wrapText="1"/>
    </xf>
    <xf numFmtId="0" fontId="6" fillId="0" borderId="27" xfId="0" applyFont="1" applyBorder="1"/>
    <xf numFmtId="0" fontId="6" fillId="0" borderId="28" xfId="0" applyFont="1" applyBorder="1"/>
    <xf numFmtId="0" fontId="2" fillId="0" borderId="0" xfId="0" applyFont="1" applyAlignment="1">
      <alignment horizontal="center" vertical="center" wrapText="1"/>
    </xf>
    <xf numFmtId="0" fontId="1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1"/>
  <sheetViews>
    <sheetView tabSelected="1" workbookViewId="0">
      <selection activeCell="B2" sqref="B2:E2"/>
    </sheetView>
  </sheetViews>
  <sheetFormatPr baseColWidth="10" defaultColWidth="12.5703125" defaultRowHeight="15.75" customHeight="1" x14ac:dyDescent="0.2"/>
  <cols>
    <col min="1" max="1" width="2.28515625" customWidth="1"/>
    <col min="2" max="2" width="26.140625" customWidth="1"/>
    <col min="3" max="3" width="28.28515625" customWidth="1"/>
    <col min="4" max="5" width="27.85546875" customWidth="1"/>
  </cols>
  <sheetData>
    <row r="1" spans="1:26" ht="10.5" customHeight="1" x14ac:dyDescent="0.2">
      <c r="B1" s="2"/>
    </row>
    <row r="2" spans="1:26" ht="24.75" customHeight="1" x14ac:dyDescent="0.2">
      <c r="B2" s="57" t="s">
        <v>88</v>
      </c>
      <c r="C2" s="57"/>
      <c r="D2" s="57"/>
      <c r="E2" s="57"/>
    </row>
    <row r="3" spans="1:26" ht="10.5" customHeight="1" x14ac:dyDescent="0.2">
      <c r="B3" s="2"/>
    </row>
    <row r="4" spans="1:26" x14ac:dyDescent="0.25">
      <c r="B4" s="4"/>
      <c r="C4" s="6" t="s">
        <v>13</v>
      </c>
      <c r="D4" s="6" t="s">
        <v>15</v>
      </c>
      <c r="E4" s="7" t="s">
        <v>18</v>
      </c>
    </row>
    <row r="5" spans="1:26" ht="409.5" x14ac:dyDescent="0.2">
      <c r="B5" s="8" t="s">
        <v>21</v>
      </c>
      <c r="C5" s="11" t="s">
        <v>26</v>
      </c>
      <c r="D5" s="11" t="s">
        <v>29</v>
      </c>
      <c r="E5" s="13" t="s">
        <v>30</v>
      </c>
    </row>
    <row r="6" spans="1:26" ht="408" x14ac:dyDescent="0.2">
      <c r="B6" s="14" t="s">
        <v>31</v>
      </c>
      <c r="C6" s="15" t="s">
        <v>32</v>
      </c>
      <c r="D6" s="15" t="s">
        <v>34</v>
      </c>
      <c r="E6" s="15" t="s">
        <v>36</v>
      </c>
    </row>
    <row r="7" spans="1:26" ht="12.75" x14ac:dyDescent="0.2">
      <c r="B7" s="2"/>
    </row>
    <row r="8" spans="1:26" ht="12.75" x14ac:dyDescent="0.2">
      <c r="B8" s="2"/>
    </row>
    <row r="9" spans="1:26" ht="12.75" x14ac:dyDescent="0.2">
      <c r="B9" s="2"/>
    </row>
    <row r="10" spans="1:26" ht="12.75" x14ac:dyDescent="0.2">
      <c r="B10" s="44" t="s">
        <v>39</v>
      </c>
      <c r="C10" s="45"/>
      <c r="D10" s="46"/>
    </row>
    <row r="11" spans="1:26" ht="21.75" customHeight="1" x14ac:dyDescent="0.2">
      <c r="A11" s="23"/>
      <c r="B11" s="47" t="s">
        <v>43</v>
      </c>
      <c r="C11" s="48"/>
      <c r="D11" s="49"/>
      <c r="E11" s="23"/>
      <c r="F11" s="23"/>
      <c r="G11" s="23"/>
      <c r="H11" s="23"/>
      <c r="I11" s="23"/>
      <c r="J11" s="23"/>
      <c r="K11" s="23"/>
      <c r="L11" s="23"/>
      <c r="M11" s="23"/>
      <c r="N11" s="23"/>
      <c r="O11" s="23"/>
      <c r="P11" s="23"/>
      <c r="Q11" s="23"/>
      <c r="R11" s="23"/>
      <c r="S11" s="23"/>
      <c r="T11" s="23"/>
      <c r="U11" s="23"/>
      <c r="V11" s="23"/>
      <c r="W11" s="23"/>
      <c r="X11" s="23"/>
      <c r="Y11" s="23"/>
      <c r="Z11" s="23"/>
    </row>
    <row r="12" spans="1:26" ht="12.75" x14ac:dyDescent="0.2">
      <c r="B12" s="50" t="s">
        <v>49</v>
      </c>
      <c r="C12" s="51"/>
      <c r="D12" s="52"/>
    </row>
    <row r="13" spans="1:26" ht="21.75" customHeight="1" x14ac:dyDescent="0.2">
      <c r="A13" s="23"/>
      <c r="B13" s="47" t="s">
        <v>52</v>
      </c>
      <c r="C13" s="48"/>
      <c r="D13" s="49"/>
      <c r="E13" s="23"/>
      <c r="F13" s="23"/>
      <c r="G13" s="23"/>
      <c r="H13" s="23"/>
      <c r="I13" s="23"/>
      <c r="J13" s="23"/>
      <c r="K13" s="23"/>
      <c r="L13" s="23"/>
      <c r="M13" s="23"/>
      <c r="N13" s="23"/>
      <c r="O13" s="23"/>
      <c r="P13" s="23"/>
      <c r="Q13" s="23"/>
      <c r="R13" s="23"/>
      <c r="S13" s="23"/>
      <c r="T13" s="23"/>
      <c r="U13" s="23"/>
      <c r="V13" s="23"/>
      <c r="W13" s="23"/>
      <c r="X13" s="23"/>
      <c r="Y13" s="23"/>
      <c r="Z13" s="23"/>
    </row>
    <row r="14" spans="1:26" ht="12.75" x14ac:dyDescent="0.2">
      <c r="B14" s="53" t="s">
        <v>54</v>
      </c>
      <c r="C14" s="54"/>
      <c r="D14" s="55"/>
    </row>
    <row r="15" spans="1:26" ht="12.75" x14ac:dyDescent="0.2">
      <c r="B15" s="2"/>
    </row>
    <row r="16" spans="1:26" ht="12.75" x14ac:dyDescent="0.2">
      <c r="B16" s="42" t="s">
        <v>56</v>
      </c>
      <c r="C16" s="41"/>
      <c r="D16" s="41"/>
      <c r="E16" s="33"/>
    </row>
    <row r="17" spans="2:9" ht="12.75" x14ac:dyDescent="0.2">
      <c r="B17" s="34" t="s">
        <v>57</v>
      </c>
      <c r="C17" s="2"/>
      <c r="D17" s="2"/>
      <c r="E17" s="36"/>
      <c r="F17" s="36"/>
      <c r="G17" s="36"/>
      <c r="H17" s="36"/>
      <c r="I17" s="36"/>
    </row>
    <row r="18" spans="2:9" ht="12.75" x14ac:dyDescent="0.2">
      <c r="B18" s="40" t="s">
        <v>58</v>
      </c>
      <c r="C18" s="41"/>
      <c r="D18" s="41"/>
    </row>
    <row r="19" spans="2:9" ht="12.75" x14ac:dyDescent="0.2">
      <c r="B19" s="40" t="s">
        <v>59</v>
      </c>
      <c r="C19" s="41"/>
      <c r="D19" s="41"/>
    </row>
    <row r="20" spans="2:9" ht="12.75" x14ac:dyDescent="0.2">
      <c r="B20" s="40" t="s">
        <v>60</v>
      </c>
      <c r="C20" s="41"/>
      <c r="D20" s="41"/>
    </row>
    <row r="21" spans="2:9" ht="12.75" x14ac:dyDescent="0.2">
      <c r="B21" s="40" t="s">
        <v>61</v>
      </c>
      <c r="C21" s="41"/>
      <c r="D21" s="41"/>
    </row>
    <row r="22" spans="2:9" ht="12.75" x14ac:dyDescent="0.2">
      <c r="B22" s="40" t="s">
        <v>62</v>
      </c>
      <c r="C22" s="41"/>
      <c r="D22" s="41"/>
    </row>
    <row r="23" spans="2:9" ht="12.75" x14ac:dyDescent="0.2">
      <c r="B23" s="40" t="s">
        <v>63</v>
      </c>
      <c r="C23" s="41"/>
      <c r="D23" s="41"/>
    </row>
    <row r="24" spans="2:9" ht="12.75" x14ac:dyDescent="0.2">
      <c r="B24" s="40" t="s">
        <v>64</v>
      </c>
      <c r="C24" s="41"/>
      <c r="D24" s="41"/>
    </row>
    <row r="25" spans="2:9" ht="12.75" x14ac:dyDescent="0.2">
      <c r="B25" s="40" t="s">
        <v>65</v>
      </c>
      <c r="C25" s="41"/>
      <c r="D25" s="41"/>
    </row>
    <row r="26" spans="2:9" ht="12.75" x14ac:dyDescent="0.2">
      <c r="B26" s="40" t="s">
        <v>66</v>
      </c>
      <c r="C26" s="41"/>
      <c r="D26" s="41"/>
    </row>
    <row r="27" spans="2:9" ht="12.75" x14ac:dyDescent="0.2">
      <c r="B27" s="34" t="s">
        <v>67</v>
      </c>
    </row>
    <row r="28" spans="2:9" ht="12.75" x14ac:dyDescent="0.2">
      <c r="B28" s="2" t="s">
        <v>68</v>
      </c>
      <c r="C28" s="2"/>
      <c r="D28" s="2"/>
    </row>
    <row r="29" spans="2:9" ht="12.75" x14ac:dyDescent="0.2">
      <c r="B29" s="40" t="s">
        <v>69</v>
      </c>
      <c r="C29" s="41"/>
      <c r="D29" s="41"/>
    </row>
    <row r="30" spans="2:9" ht="12.75" x14ac:dyDescent="0.2">
      <c r="B30" s="40" t="s">
        <v>70</v>
      </c>
      <c r="C30" s="41"/>
      <c r="D30" s="41"/>
    </row>
    <row r="31" spans="2:9" ht="12.75" x14ac:dyDescent="0.2">
      <c r="B31" s="40" t="s">
        <v>71</v>
      </c>
      <c r="C31" s="41"/>
      <c r="D31" s="41"/>
    </row>
    <row r="32" spans="2:9" ht="12.75" x14ac:dyDescent="0.2">
      <c r="B32" s="40" t="s">
        <v>72</v>
      </c>
      <c r="C32" s="41"/>
      <c r="D32" s="41"/>
    </row>
    <row r="33" spans="2:4" ht="12.75" x14ac:dyDescent="0.2">
      <c r="B33" s="40" t="s">
        <v>73</v>
      </c>
      <c r="C33" s="41"/>
      <c r="D33" s="41"/>
    </row>
    <row r="34" spans="2:4" ht="12.75" x14ac:dyDescent="0.2">
      <c r="B34" s="2" t="s">
        <v>74</v>
      </c>
      <c r="C34" s="2"/>
      <c r="D34" s="2"/>
    </row>
    <row r="35" spans="2:4" ht="12.75" x14ac:dyDescent="0.2">
      <c r="B35" s="40" t="s">
        <v>75</v>
      </c>
      <c r="C35" s="41"/>
      <c r="D35" s="41"/>
    </row>
    <row r="36" spans="2:4" ht="12.75" x14ac:dyDescent="0.2">
      <c r="B36" s="40" t="s">
        <v>77</v>
      </c>
      <c r="C36" s="41"/>
      <c r="D36" s="41"/>
    </row>
    <row r="37" spans="2:4" ht="12.75" x14ac:dyDescent="0.2">
      <c r="B37" s="40" t="s">
        <v>78</v>
      </c>
      <c r="C37" s="41"/>
      <c r="D37" s="41"/>
    </row>
    <row r="38" spans="2:4" ht="12.75" x14ac:dyDescent="0.2">
      <c r="B38" s="2"/>
      <c r="C38" s="2"/>
      <c r="D38" s="2"/>
    </row>
    <row r="39" spans="2:4" ht="12.75" x14ac:dyDescent="0.2">
      <c r="B39" s="42" t="s">
        <v>79</v>
      </c>
      <c r="C39" s="41"/>
      <c r="D39" s="41"/>
    </row>
    <row r="40" spans="2:4" ht="12.75" x14ac:dyDescent="0.2">
      <c r="B40" s="34" t="s">
        <v>57</v>
      </c>
      <c r="C40" s="2"/>
      <c r="D40" s="2"/>
    </row>
    <row r="41" spans="2:4" ht="12.75" x14ac:dyDescent="0.2">
      <c r="B41" s="40" t="s">
        <v>80</v>
      </c>
      <c r="C41" s="41"/>
      <c r="D41" s="41"/>
    </row>
    <row r="42" spans="2:4" ht="12.75" x14ac:dyDescent="0.2">
      <c r="B42" s="40" t="s">
        <v>81</v>
      </c>
      <c r="C42" s="41"/>
      <c r="D42" s="41"/>
    </row>
    <row r="43" spans="2:4" ht="12.75" x14ac:dyDescent="0.2">
      <c r="B43" s="40" t="s">
        <v>82</v>
      </c>
      <c r="C43" s="41"/>
      <c r="D43" s="41"/>
    </row>
    <row r="44" spans="2:4" ht="12.75" x14ac:dyDescent="0.2">
      <c r="B44" s="43" t="s">
        <v>67</v>
      </c>
      <c r="C44" s="41"/>
      <c r="D44" s="41"/>
    </row>
    <row r="45" spans="2:4" ht="12.75" x14ac:dyDescent="0.2">
      <c r="B45" s="40" t="s">
        <v>83</v>
      </c>
      <c r="C45" s="41"/>
      <c r="D45" s="41"/>
    </row>
    <row r="46" spans="2:4" ht="12.75" x14ac:dyDescent="0.2">
      <c r="B46" s="40" t="s">
        <v>84</v>
      </c>
      <c r="C46" s="41"/>
      <c r="D46" s="41"/>
    </row>
    <row r="47" spans="2:4" ht="12.75" x14ac:dyDescent="0.2">
      <c r="B47" s="40" t="s">
        <v>85</v>
      </c>
      <c r="C47" s="41"/>
      <c r="D47" s="41"/>
    </row>
    <row r="48" spans="2:4" ht="12.75" x14ac:dyDescent="0.2">
      <c r="B48" s="2"/>
    </row>
    <row r="49" spans="2:4" ht="18.75" customHeight="1" x14ac:dyDescent="0.2">
      <c r="B49" s="2"/>
      <c r="C49" s="2"/>
      <c r="D49" s="2"/>
    </row>
    <row r="50" spans="2:4" ht="18.75" customHeight="1" x14ac:dyDescent="0.2">
      <c r="B50" s="2"/>
      <c r="C50" s="2"/>
      <c r="D50" s="2"/>
    </row>
    <row r="51" spans="2:4" ht="18.75" customHeight="1" x14ac:dyDescent="0.2">
      <c r="B51" s="40" t="s">
        <v>86</v>
      </c>
      <c r="C51" s="41"/>
      <c r="D51" s="41"/>
    </row>
    <row r="52" spans="2:4" ht="47.25" customHeight="1" x14ac:dyDescent="0.2">
      <c r="B52" s="40" t="s">
        <v>87</v>
      </c>
      <c r="C52" s="41"/>
      <c r="D52" s="41"/>
    </row>
    <row r="53" spans="2:4" ht="12.75" x14ac:dyDescent="0.2">
      <c r="B53" s="2"/>
    </row>
    <row r="54" spans="2:4" ht="12.75" x14ac:dyDescent="0.2">
      <c r="B54" s="2"/>
    </row>
    <row r="55" spans="2:4" ht="12.75" x14ac:dyDescent="0.2">
      <c r="B55" s="2"/>
    </row>
    <row r="56" spans="2:4" ht="12.75" x14ac:dyDescent="0.2">
      <c r="B56" s="2"/>
    </row>
    <row r="57" spans="2:4" ht="12.75" x14ac:dyDescent="0.2">
      <c r="B57" s="2"/>
    </row>
    <row r="58" spans="2:4" ht="12.75" x14ac:dyDescent="0.2">
      <c r="B58" s="2"/>
    </row>
    <row r="59" spans="2:4" ht="12.75" x14ac:dyDescent="0.2">
      <c r="B59" s="2"/>
    </row>
    <row r="60" spans="2:4" ht="12.75" x14ac:dyDescent="0.2">
      <c r="B60" s="2"/>
    </row>
    <row r="61" spans="2:4" ht="12.75" x14ac:dyDescent="0.2">
      <c r="B61" s="2"/>
    </row>
    <row r="62" spans="2:4" ht="12.75" x14ac:dyDescent="0.2">
      <c r="B62" s="2"/>
    </row>
    <row r="63" spans="2:4" ht="12.75" x14ac:dyDescent="0.2">
      <c r="B63" s="2"/>
    </row>
    <row r="64" spans="2:4" ht="12.75" x14ac:dyDescent="0.2">
      <c r="B64" s="2"/>
    </row>
    <row r="65" spans="2:2" ht="12.75" x14ac:dyDescent="0.2">
      <c r="B65" s="2"/>
    </row>
    <row r="66" spans="2:2" ht="12.75" x14ac:dyDescent="0.2">
      <c r="B66" s="2"/>
    </row>
    <row r="67" spans="2:2" ht="12.75" x14ac:dyDescent="0.2">
      <c r="B67" s="2"/>
    </row>
    <row r="68" spans="2:2" ht="12.75" x14ac:dyDescent="0.2">
      <c r="B68" s="2"/>
    </row>
    <row r="69" spans="2:2" ht="12.75" x14ac:dyDescent="0.2">
      <c r="B69" s="2"/>
    </row>
    <row r="70" spans="2:2" ht="12.75" x14ac:dyDescent="0.2">
      <c r="B70" s="2"/>
    </row>
    <row r="71" spans="2:2" ht="12.75" x14ac:dyDescent="0.2">
      <c r="B71" s="2"/>
    </row>
    <row r="72" spans="2:2" ht="12.75" x14ac:dyDescent="0.2">
      <c r="B72" s="2"/>
    </row>
    <row r="73" spans="2:2" ht="12.75" x14ac:dyDescent="0.2">
      <c r="B73" s="2"/>
    </row>
    <row r="74" spans="2:2" ht="12.75" x14ac:dyDescent="0.2">
      <c r="B74" s="2"/>
    </row>
    <row r="75" spans="2:2" ht="12.75" x14ac:dyDescent="0.2">
      <c r="B75" s="2"/>
    </row>
    <row r="76" spans="2:2" ht="12.75" x14ac:dyDescent="0.2">
      <c r="B76" s="2"/>
    </row>
    <row r="77" spans="2:2" ht="12.75" x14ac:dyDescent="0.2">
      <c r="B77" s="2"/>
    </row>
    <row r="78" spans="2:2" ht="12.75" x14ac:dyDescent="0.2">
      <c r="B78" s="2"/>
    </row>
    <row r="79" spans="2:2" ht="12.75" x14ac:dyDescent="0.2">
      <c r="B79" s="2"/>
    </row>
    <row r="80" spans="2:2" ht="12.75" x14ac:dyDescent="0.2">
      <c r="B80" s="2"/>
    </row>
    <row r="81" spans="2:2" ht="12.75" x14ac:dyDescent="0.2">
      <c r="B81" s="2"/>
    </row>
    <row r="82" spans="2:2" ht="12.75" x14ac:dyDescent="0.2">
      <c r="B82" s="2"/>
    </row>
    <row r="83" spans="2:2" ht="12.75" x14ac:dyDescent="0.2">
      <c r="B83" s="2"/>
    </row>
    <row r="84" spans="2:2" ht="12.75" x14ac:dyDescent="0.2">
      <c r="B84" s="2"/>
    </row>
    <row r="85" spans="2:2" ht="12.75" x14ac:dyDescent="0.2">
      <c r="B85" s="2"/>
    </row>
    <row r="86" spans="2:2" ht="12.75" x14ac:dyDescent="0.2">
      <c r="B86" s="2"/>
    </row>
    <row r="87" spans="2:2" ht="12.75" x14ac:dyDescent="0.2">
      <c r="B87" s="2"/>
    </row>
    <row r="88" spans="2:2" ht="12.75" x14ac:dyDescent="0.2">
      <c r="B88" s="2"/>
    </row>
    <row r="89" spans="2:2" ht="12.75" x14ac:dyDescent="0.2">
      <c r="B89" s="2"/>
    </row>
    <row r="90" spans="2:2" ht="12.75" x14ac:dyDescent="0.2">
      <c r="B90" s="2"/>
    </row>
    <row r="91" spans="2:2" ht="12.75" x14ac:dyDescent="0.2">
      <c r="B91" s="2"/>
    </row>
    <row r="92" spans="2:2" ht="12.75" x14ac:dyDescent="0.2">
      <c r="B92" s="2"/>
    </row>
    <row r="93" spans="2:2" ht="12.75" x14ac:dyDescent="0.2">
      <c r="B93" s="2"/>
    </row>
    <row r="94" spans="2:2" ht="12.75" x14ac:dyDescent="0.2">
      <c r="B94" s="2"/>
    </row>
    <row r="95" spans="2:2" ht="12.75" x14ac:dyDescent="0.2">
      <c r="B95" s="2"/>
    </row>
    <row r="96" spans="2:2" ht="12.75" x14ac:dyDescent="0.2">
      <c r="B96" s="2"/>
    </row>
    <row r="97" spans="2:2" ht="12.75" x14ac:dyDescent="0.2">
      <c r="B97" s="2"/>
    </row>
    <row r="98" spans="2:2" ht="12.75" x14ac:dyDescent="0.2">
      <c r="B98" s="2"/>
    </row>
    <row r="99" spans="2:2" ht="12.75" x14ac:dyDescent="0.2">
      <c r="B99" s="2"/>
    </row>
    <row r="100" spans="2:2" ht="12.75" x14ac:dyDescent="0.2">
      <c r="B100" s="2"/>
    </row>
    <row r="101" spans="2:2" ht="12.75" x14ac:dyDescent="0.2">
      <c r="B101" s="2"/>
    </row>
    <row r="102" spans="2:2" ht="12.75" x14ac:dyDescent="0.2">
      <c r="B102" s="2"/>
    </row>
    <row r="103" spans="2:2" ht="12.75" x14ac:dyDescent="0.2">
      <c r="B103" s="2"/>
    </row>
    <row r="104" spans="2:2" ht="12.75" x14ac:dyDescent="0.2">
      <c r="B104" s="2"/>
    </row>
    <row r="105" spans="2:2" ht="12.75" x14ac:dyDescent="0.2">
      <c r="B105" s="2"/>
    </row>
    <row r="106" spans="2:2" ht="12.75" x14ac:dyDescent="0.2">
      <c r="B106" s="2"/>
    </row>
    <row r="107" spans="2:2" ht="12.75" x14ac:dyDescent="0.2">
      <c r="B107" s="2"/>
    </row>
    <row r="108" spans="2:2" ht="12.75" x14ac:dyDescent="0.2">
      <c r="B108" s="2"/>
    </row>
    <row r="109" spans="2:2" ht="12.75" x14ac:dyDescent="0.2">
      <c r="B109" s="2"/>
    </row>
    <row r="110" spans="2:2" ht="12.75" x14ac:dyDescent="0.2">
      <c r="B110" s="2"/>
    </row>
    <row r="111" spans="2:2" ht="12.75" x14ac:dyDescent="0.2">
      <c r="B111" s="2"/>
    </row>
    <row r="112" spans="2:2" ht="12.75" x14ac:dyDescent="0.2">
      <c r="B112" s="2"/>
    </row>
    <row r="113" spans="2:2" ht="12.75" x14ac:dyDescent="0.2">
      <c r="B113" s="2"/>
    </row>
    <row r="114" spans="2:2" ht="12.75" x14ac:dyDescent="0.2">
      <c r="B114" s="2"/>
    </row>
    <row r="115" spans="2:2" ht="12.75" x14ac:dyDescent="0.2">
      <c r="B115" s="2"/>
    </row>
    <row r="116" spans="2:2" ht="12.75" x14ac:dyDescent="0.2">
      <c r="B116" s="2"/>
    </row>
    <row r="117" spans="2:2" ht="12.75" x14ac:dyDescent="0.2">
      <c r="B117" s="2"/>
    </row>
    <row r="118" spans="2:2" ht="12.75" x14ac:dyDescent="0.2">
      <c r="B118" s="2"/>
    </row>
    <row r="119" spans="2:2" ht="12.75" x14ac:dyDescent="0.2">
      <c r="B119" s="2"/>
    </row>
    <row r="120" spans="2:2" ht="12.75" x14ac:dyDescent="0.2">
      <c r="B120" s="2"/>
    </row>
    <row r="121" spans="2:2" ht="12.75" x14ac:dyDescent="0.2">
      <c r="B121" s="2"/>
    </row>
    <row r="122" spans="2:2" ht="12.75" x14ac:dyDescent="0.2">
      <c r="B122" s="2"/>
    </row>
    <row r="123" spans="2:2" ht="12.75" x14ac:dyDescent="0.2">
      <c r="B123" s="2"/>
    </row>
    <row r="124" spans="2:2" ht="12.75" x14ac:dyDescent="0.2">
      <c r="B124" s="2"/>
    </row>
    <row r="125" spans="2:2" ht="12.75" x14ac:dyDescent="0.2">
      <c r="B125" s="2"/>
    </row>
    <row r="126" spans="2:2" ht="12.75" x14ac:dyDescent="0.2">
      <c r="B126" s="2"/>
    </row>
    <row r="127" spans="2:2" ht="12.75" x14ac:dyDescent="0.2">
      <c r="B127" s="2"/>
    </row>
    <row r="128" spans="2:2" ht="12.75" x14ac:dyDescent="0.2">
      <c r="B128" s="2"/>
    </row>
    <row r="129" spans="2:2" ht="12.75" x14ac:dyDescent="0.2">
      <c r="B129" s="2"/>
    </row>
    <row r="130" spans="2:2" ht="12.75" x14ac:dyDescent="0.2">
      <c r="B130" s="2"/>
    </row>
    <row r="131" spans="2:2" ht="12.75" x14ac:dyDescent="0.2">
      <c r="B131" s="2"/>
    </row>
    <row r="132" spans="2:2" ht="12.75" x14ac:dyDescent="0.2">
      <c r="B132" s="2"/>
    </row>
    <row r="133" spans="2:2" ht="12.75" x14ac:dyDescent="0.2">
      <c r="B133" s="2"/>
    </row>
    <row r="134" spans="2:2" ht="12.75" x14ac:dyDescent="0.2">
      <c r="B134" s="2"/>
    </row>
    <row r="135" spans="2:2" ht="12.75" x14ac:dyDescent="0.2">
      <c r="B135" s="2"/>
    </row>
    <row r="136" spans="2:2" ht="12.75" x14ac:dyDescent="0.2">
      <c r="B136" s="2"/>
    </row>
    <row r="137" spans="2:2" ht="12.75" x14ac:dyDescent="0.2">
      <c r="B137" s="2"/>
    </row>
    <row r="138" spans="2:2" ht="12.75" x14ac:dyDescent="0.2">
      <c r="B138" s="2"/>
    </row>
    <row r="139" spans="2:2" ht="12.75" x14ac:dyDescent="0.2">
      <c r="B139" s="2"/>
    </row>
    <row r="140" spans="2:2" ht="12.75" x14ac:dyDescent="0.2">
      <c r="B140" s="2"/>
    </row>
    <row r="141" spans="2:2" ht="12.75" x14ac:dyDescent="0.2">
      <c r="B141" s="2"/>
    </row>
    <row r="142" spans="2:2" ht="12.75" x14ac:dyDescent="0.2">
      <c r="B142" s="2"/>
    </row>
    <row r="143" spans="2:2" ht="12.75" x14ac:dyDescent="0.2">
      <c r="B143" s="2"/>
    </row>
    <row r="144" spans="2:2" ht="12.75" x14ac:dyDescent="0.2">
      <c r="B144" s="2"/>
    </row>
    <row r="145" spans="2:2" ht="12.75" x14ac:dyDescent="0.2">
      <c r="B145" s="2"/>
    </row>
    <row r="146" spans="2:2" ht="12.75" x14ac:dyDescent="0.2">
      <c r="B146" s="2"/>
    </row>
    <row r="147" spans="2:2" ht="12.75" x14ac:dyDescent="0.2">
      <c r="B147" s="2"/>
    </row>
    <row r="148" spans="2:2" ht="12.75" x14ac:dyDescent="0.2">
      <c r="B148" s="2"/>
    </row>
    <row r="149" spans="2:2" ht="12.75" x14ac:dyDescent="0.2">
      <c r="B149" s="2"/>
    </row>
    <row r="150" spans="2:2" ht="12.75" x14ac:dyDescent="0.2">
      <c r="B150" s="2"/>
    </row>
    <row r="151" spans="2:2" ht="12.75" x14ac:dyDescent="0.2">
      <c r="B151" s="2"/>
    </row>
    <row r="152" spans="2:2" ht="12.75" x14ac:dyDescent="0.2">
      <c r="B152" s="2"/>
    </row>
    <row r="153" spans="2:2" ht="12.75" x14ac:dyDescent="0.2">
      <c r="B153" s="2"/>
    </row>
    <row r="154" spans="2:2" ht="12.75" x14ac:dyDescent="0.2">
      <c r="B154" s="2"/>
    </row>
    <row r="155" spans="2:2" ht="12.75" x14ac:dyDescent="0.2">
      <c r="B155" s="2"/>
    </row>
    <row r="156" spans="2:2" ht="12.75" x14ac:dyDescent="0.2">
      <c r="B156" s="2"/>
    </row>
    <row r="157" spans="2:2" ht="12.75" x14ac:dyDescent="0.2">
      <c r="B157" s="2"/>
    </row>
    <row r="158" spans="2:2" ht="12.75" x14ac:dyDescent="0.2">
      <c r="B158" s="2"/>
    </row>
    <row r="159" spans="2:2" ht="12.75" x14ac:dyDescent="0.2">
      <c r="B159" s="2"/>
    </row>
    <row r="160" spans="2:2" ht="12.75" x14ac:dyDescent="0.2">
      <c r="B160" s="2"/>
    </row>
    <row r="161" spans="2:2" ht="12.75" x14ac:dyDescent="0.2">
      <c r="B161" s="2"/>
    </row>
    <row r="162" spans="2:2" ht="12.75" x14ac:dyDescent="0.2">
      <c r="B162" s="2"/>
    </row>
    <row r="163" spans="2:2" ht="12.75" x14ac:dyDescent="0.2">
      <c r="B163" s="2"/>
    </row>
    <row r="164" spans="2:2" ht="12.75" x14ac:dyDescent="0.2">
      <c r="B164" s="2"/>
    </row>
    <row r="165" spans="2:2" ht="12.75" x14ac:dyDescent="0.2">
      <c r="B165" s="2"/>
    </row>
    <row r="166" spans="2:2" ht="12.75" x14ac:dyDescent="0.2">
      <c r="B166" s="2"/>
    </row>
    <row r="167" spans="2:2" ht="12.75" x14ac:dyDescent="0.2">
      <c r="B167" s="2"/>
    </row>
    <row r="168" spans="2:2" ht="12.75" x14ac:dyDescent="0.2">
      <c r="B168" s="2"/>
    </row>
    <row r="169" spans="2:2" ht="12.75" x14ac:dyDescent="0.2">
      <c r="B169" s="2"/>
    </row>
    <row r="170" spans="2:2" ht="12.75" x14ac:dyDescent="0.2">
      <c r="B170" s="2"/>
    </row>
    <row r="171" spans="2:2" ht="12.75" x14ac:dyDescent="0.2">
      <c r="B171" s="2"/>
    </row>
    <row r="172" spans="2:2" ht="12.75" x14ac:dyDescent="0.2">
      <c r="B172" s="2"/>
    </row>
    <row r="173" spans="2:2" ht="12.75" x14ac:dyDescent="0.2">
      <c r="B173" s="2"/>
    </row>
    <row r="174" spans="2:2" ht="12.75" x14ac:dyDescent="0.2">
      <c r="B174" s="2"/>
    </row>
    <row r="175" spans="2:2" ht="12.75" x14ac:dyDescent="0.2">
      <c r="B175" s="2"/>
    </row>
    <row r="176" spans="2:2" ht="12.75" x14ac:dyDescent="0.2">
      <c r="B176" s="2"/>
    </row>
    <row r="177" spans="2:2" ht="12.75" x14ac:dyDescent="0.2">
      <c r="B177" s="2"/>
    </row>
    <row r="178" spans="2:2" ht="12.75" x14ac:dyDescent="0.2">
      <c r="B178" s="2"/>
    </row>
    <row r="179" spans="2:2" ht="12.75" x14ac:dyDescent="0.2">
      <c r="B179" s="2"/>
    </row>
    <row r="180" spans="2:2" ht="12.75" x14ac:dyDescent="0.2">
      <c r="B180" s="2"/>
    </row>
    <row r="181" spans="2:2" ht="12.75" x14ac:dyDescent="0.2">
      <c r="B181" s="2"/>
    </row>
    <row r="182" spans="2:2" ht="12.75" x14ac:dyDescent="0.2">
      <c r="B182" s="2"/>
    </row>
    <row r="183" spans="2:2" ht="12.75" x14ac:dyDescent="0.2">
      <c r="B183" s="2"/>
    </row>
    <row r="184" spans="2:2" ht="12.75" x14ac:dyDescent="0.2">
      <c r="B184" s="2"/>
    </row>
    <row r="185" spans="2:2" ht="12.75" x14ac:dyDescent="0.2">
      <c r="B185" s="2"/>
    </row>
    <row r="186" spans="2:2" ht="12.75" x14ac:dyDescent="0.2">
      <c r="B186" s="2"/>
    </row>
    <row r="187" spans="2:2" ht="12.75" x14ac:dyDescent="0.2">
      <c r="B187" s="2"/>
    </row>
    <row r="188" spans="2:2" ht="12.75" x14ac:dyDescent="0.2">
      <c r="B188" s="2"/>
    </row>
    <row r="189" spans="2:2" ht="12.75" x14ac:dyDescent="0.2">
      <c r="B189" s="2"/>
    </row>
    <row r="190" spans="2:2" ht="12.75" x14ac:dyDescent="0.2">
      <c r="B190" s="2"/>
    </row>
    <row r="191" spans="2:2" ht="12.75" x14ac:dyDescent="0.2">
      <c r="B191" s="2"/>
    </row>
    <row r="192" spans="2:2" ht="12.75" x14ac:dyDescent="0.2">
      <c r="B192" s="2"/>
    </row>
    <row r="193" spans="2:2" ht="12.75" x14ac:dyDescent="0.2">
      <c r="B193" s="2"/>
    </row>
    <row r="194" spans="2:2" ht="12.75" x14ac:dyDescent="0.2">
      <c r="B194" s="2"/>
    </row>
    <row r="195" spans="2:2" ht="12.75" x14ac:dyDescent="0.2">
      <c r="B195" s="2"/>
    </row>
    <row r="196" spans="2:2" ht="12.75" x14ac:dyDescent="0.2">
      <c r="B196" s="2"/>
    </row>
    <row r="197" spans="2:2" ht="12.75" x14ac:dyDescent="0.2">
      <c r="B197" s="2"/>
    </row>
    <row r="198" spans="2:2" ht="12.75" x14ac:dyDescent="0.2">
      <c r="B198" s="2"/>
    </row>
    <row r="199" spans="2:2" ht="12.75" x14ac:dyDescent="0.2">
      <c r="B199" s="2"/>
    </row>
    <row r="200" spans="2:2" ht="12.75" x14ac:dyDescent="0.2">
      <c r="B200" s="2"/>
    </row>
    <row r="201" spans="2:2" ht="12.75" x14ac:dyDescent="0.2">
      <c r="B201" s="2"/>
    </row>
    <row r="202" spans="2:2" ht="12.75" x14ac:dyDescent="0.2">
      <c r="B202" s="2"/>
    </row>
    <row r="203" spans="2:2" ht="12.75" x14ac:dyDescent="0.2">
      <c r="B203" s="2"/>
    </row>
    <row r="204" spans="2:2" ht="12.75" x14ac:dyDescent="0.2">
      <c r="B204" s="2"/>
    </row>
    <row r="205" spans="2:2" ht="12.75" x14ac:dyDescent="0.2">
      <c r="B205" s="2"/>
    </row>
    <row r="206" spans="2:2" ht="12.75" x14ac:dyDescent="0.2">
      <c r="B206" s="2"/>
    </row>
    <row r="207" spans="2:2" ht="12.75" x14ac:dyDescent="0.2">
      <c r="B207" s="2"/>
    </row>
    <row r="208" spans="2:2" ht="12.75" x14ac:dyDescent="0.2">
      <c r="B208" s="2"/>
    </row>
    <row r="209" spans="2:2" ht="12.75" x14ac:dyDescent="0.2">
      <c r="B209" s="2"/>
    </row>
    <row r="210" spans="2:2" ht="12.75" x14ac:dyDescent="0.2">
      <c r="B210" s="2"/>
    </row>
    <row r="211" spans="2:2" ht="12.75" x14ac:dyDescent="0.2">
      <c r="B211" s="2"/>
    </row>
    <row r="212" spans="2:2" ht="12.75" x14ac:dyDescent="0.2">
      <c r="B212" s="2"/>
    </row>
    <row r="213" spans="2:2" ht="12.75" x14ac:dyDescent="0.2">
      <c r="B213" s="2"/>
    </row>
    <row r="214" spans="2:2" ht="12.75" x14ac:dyDescent="0.2">
      <c r="B214" s="2"/>
    </row>
    <row r="215" spans="2:2" ht="12.75" x14ac:dyDescent="0.2">
      <c r="B215" s="2"/>
    </row>
    <row r="216" spans="2:2" ht="12.75" x14ac:dyDescent="0.2">
      <c r="B216" s="2"/>
    </row>
    <row r="217" spans="2:2" ht="12.75" x14ac:dyDescent="0.2">
      <c r="B217" s="2"/>
    </row>
    <row r="218" spans="2:2" ht="12.75" x14ac:dyDescent="0.2">
      <c r="B218" s="2"/>
    </row>
    <row r="219" spans="2:2" ht="12.75" x14ac:dyDescent="0.2">
      <c r="B219" s="2"/>
    </row>
    <row r="220" spans="2:2" ht="12.75" x14ac:dyDescent="0.2">
      <c r="B220" s="2"/>
    </row>
    <row r="221" spans="2:2" ht="12.75" x14ac:dyDescent="0.2">
      <c r="B221" s="2"/>
    </row>
    <row r="222" spans="2:2" ht="12.75" x14ac:dyDescent="0.2">
      <c r="B222" s="2"/>
    </row>
    <row r="223" spans="2:2" ht="12.75" x14ac:dyDescent="0.2">
      <c r="B223" s="2"/>
    </row>
    <row r="224" spans="2:2" ht="12.75" x14ac:dyDescent="0.2">
      <c r="B224" s="2"/>
    </row>
    <row r="225" spans="2:2" ht="12.75" x14ac:dyDescent="0.2">
      <c r="B225" s="2"/>
    </row>
    <row r="226" spans="2:2" ht="12.75" x14ac:dyDescent="0.2">
      <c r="B226" s="2"/>
    </row>
    <row r="227" spans="2:2" ht="12.75" x14ac:dyDescent="0.2">
      <c r="B227" s="2"/>
    </row>
    <row r="228" spans="2:2" ht="12.75" x14ac:dyDescent="0.2">
      <c r="B228" s="2"/>
    </row>
    <row r="229" spans="2:2" ht="12.75" x14ac:dyDescent="0.2">
      <c r="B229" s="2"/>
    </row>
    <row r="230" spans="2:2" ht="12.75" x14ac:dyDescent="0.2">
      <c r="B230" s="2"/>
    </row>
    <row r="231" spans="2:2" ht="12.75" x14ac:dyDescent="0.2">
      <c r="B231" s="2"/>
    </row>
    <row r="232" spans="2:2" ht="12.75" x14ac:dyDescent="0.2">
      <c r="B232" s="2"/>
    </row>
    <row r="233" spans="2:2" ht="12.75" x14ac:dyDescent="0.2">
      <c r="B233" s="2"/>
    </row>
    <row r="234" spans="2:2" ht="12.75" x14ac:dyDescent="0.2">
      <c r="B234" s="2"/>
    </row>
    <row r="235" spans="2:2" ht="12.75" x14ac:dyDescent="0.2">
      <c r="B235" s="2"/>
    </row>
    <row r="236" spans="2:2" ht="12.75" x14ac:dyDescent="0.2">
      <c r="B236" s="2"/>
    </row>
    <row r="237" spans="2:2" ht="12.75" x14ac:dyDescent="0.2">
      <c r="B237" s="2"/>
    </row>
    <row r="238" spans="2:2" ht="12.75" x14ac:dyDescent="0.2">
      <c r="B238" s="2"/>
    </row>
    <row r="239" spans="2:2" ht="12.75" x14ac:dyDescent="0.2">
      <c r="B239" s="2"/>
    </row>
    <row r="240" spans="2:2" ht="12.75" x14ac:dyDescent="0.2">
      <c r="B240" s="2"/>
    </row>
    <row r="241" spans="2:2" ht="12.75" x14ac:dyDescent="0.2">
      <c r="B241" s="2"/>
    </row>
    <row r="242" spans="2:2" ht="12.75" x14ac:dyDescent="0.2">
      <c r="B242" s="2"/>
    </row>
    <row r="243" spans="2:2" ht="12.75" x14ac:dyDescent="0.2">
      <c r="B243" s="2"/>
    </row>
    <row r="244" spans="2:2" ht="12.75" x14ac:dyDescent="0.2">
      <c r="B244" s="2"/>
    </row>
    <row r="245" spans="2:2" ht="12.75" x14ac:dyDescent="0.2">
      <c r="B245" s="2"/>
    </row>
    <row r="246" spans="2:2" ht="12.75" x14ac:dyDescent="0.2">
      <c r="B246" s="2"/>
    </row>
    <row r="247" spans="2:2" ht="12.75" x14ac:dyDescent="0.2">
      <c r="B247" s="2"/>
    </row>
    <row r="248" spans="2:2" ht="12.75" x14ac:dyDescent="0.2">
      <c r="B248" s="2"/>
    </row>
    <row r="249" spans="2:2" ht="12.75" x14ac:dyDescent="0.2">
      <c r="B249" s="2"/>
    </row>
    <row r="250" spans="2:2" ht="12.75" x14ac:dyDescent="0.2">
      <c r="B250" s="2"/>
    </row>
    <row r="251" spans="2:2" ht="12.75" x14ac:dyDescent="0.2">
      <c r="B251" s="2"/>
    </row>
    <row r="252" spans="2:2" ht="12.75" x14ac:dyDescent="0.2">
      <c r="B252" s="2"/>
    </row>
    <row r="253" spans="2:2" ht="12.75" x14ac:dyDescent="0.2">
      <c r="B253" s="2"/>
    </row>
    <row r="254" spans="2:2" ht="12.75" x14ac:dyDescent="0.2">
      <c r="B254" s="2"/>
    </row>
    <row r="255" spans="2:2" ht="12.75" x14ac:dyDescent="0.2">
      <c r="B255" s="2"/>
    </row>
    <row r="256" spans="2:2" ht="12.75" x14ac:dyDescent="0.2">
      <c r="B256" s="2"/>
    </row>
    <row r="257" spans="2:2" ht="12.75" x14ac:dyDescent="0.2">
      <c r="B257" s="2"/>
    </row>
    <row r="258" spans="2:2" ht="12.75" x14ac:dyDescent="0.2">
      <c r="B258" s="2"/>
    </row>
    <row r="259" spans="2:2" ht="12.75" x14ac:dyDescent="0.2">
      <c r="B259" s="2"/>
    </row>
    <row r="260" spans="2:2" ht="12.75" x14ac:dyDescent="0.2">
      <c r="B260" s="2"/>
    </row>
    <row r="261" spans="2:2" ht="12.75" x14ac:dyDescent="0.2">
      <c r="B261" s="2"/>
    </row>
    <row r="262" spans="2:2" ht="12.75" x14ac:dyDescent="0.2">
      <c r="B262" s="2"/>
    </row>
    <row r="263" spans="2:2" ht="12.75" x14ac:dyDescent="0.2">
      <c r="B263" s="2"/>
    </row>
    <row r="264" spans="2:2" ht="12.75" x14ac:dyDescent="0.2">
      <c r="B264" s="2"/>
    </row>
    <row r="265" spans="2:2" ht="12.75" x14ac:dyDescent="0.2">
      <c r="B265" s="2"/>
    </row>
    <row r="266" spans="2:2" ht="12.75" x14ac:dyDescent="0.2">
      <c r="B266" s="2"/>
    </row>
    <row r="267" spans="2:2" ht="12.75" x14ac:dyDescent="0.2">
      <c r="B267" s="2"/>
    </row>
    <row r="268" spans="2:2" ht="12.75" x14ac:dyDescent="0.2">
      <c r="B268" s="2"/>
    </row>
    <row r="269" spans="2:2" ht="12.75" x14ac:dyDescent="0.2">
      <c r="B269" s="2"/>
    </row>
    <row r="270" spans="2:2" ht="12.75" x14ac:dyDescent="0.2">
      <c r="B270" s="2"/>
    </row>
    <row r="271" spans="2:2" ht="12.75" x14ac:dyDescent="0.2">
      <c r="B271" s="2"/>
    </row>
    <row r="272" spans="2:2" ht="12.75" x14ac:dyDescent="0.2">
      <c r="B272" s="2"/>
    </row>
    <row r="273" spans="2:2" ht="12.75" x14ac:dyDescent="0.2">
      <c r="B273" s="2"/>
    </row>
    <row r="274" spans="2:2" ht="12.75" x14ac:dyDescent="0.2">
      <c r="B274" s="2"/>
    </row>
    <row r="275" spans="2:2" ht="12.75" x14ac:dyDescent="0.2">
      <c r="B275" s="2"/>
    </row>
    <row r="276" spans="2:2" ht="12.75" x14ac:dyDescent="0.2">
      <c r="B276" s="2"/>
    </row>
    <row r="277" spans="2:2" ht="12.75" x14ac:dyDescent="0.2">
      <c r="B277" s="2"/>
    </row>
    <row r="278" spans="2:2" ht="12.75" x14ac:dyDescent="0.2">
      <c r="B278" s="2"/>
    </row>
    <row r="279" spans="2:2" ht="12.75" x14ac:dyDescent="0.2">
      <c r="B279" s="2"/>
    </row>
    <row r="280" spans="2:2" ht="12.75" x14ac:dyDescent="0.2">
      <c r="B280" s="2"/>
    </row>
    <row r="281" spans="2:2" ht="12.75" x14ac:dyDescent="0.2">
      <c r="B281" s="2"/>
    </row>
    <row r="282" spans="2:2" ht="12.75" x14ac:dyDescent="0.2">
      <c r="B282" s="2"/>
    </row>
    <row r="283" spans="2:2" ht="12.75" x14ac:dyDescent="0.2">
      <c r="B283" s="2"/>
    </row>
    <row r="284" spans="2:2" ht="12.75" x14ac:dyDescent="0.2">
      <c r="B284" s="2"/>
    </row>
    <row r="285" spans="2:2" ht="12.75" x14ac:dyDescent="0.2">
      <c r="B285" s="2"/>
    </row>
    <row r="286" spans="2:2" ht="12.75" x14ac:dyDescent="0.2">
      <c r="B286" s="2"/>
    </row>
    <row r="287" spans="2:2" ht="12.75" x14ac:dyDescent="0.2">
      <c r="B287" s="2"/>
    </row>
    <row r="288" spans="2:2" ht="12.75" x14ac:dyDescent="0.2">
      <c r="B288" s="2"/>
    </row>
    <row r="289" spans="2:2" ht="12.75" x14ac:dyDescent="0.2">
      <c r="B289" s="2"/>
    </row>
    <row r="290" spans="2:2" ht="12.75" x14ac:dyDescent="0.2">
      <c r="B290" s="2"/>
    </row>
    <row r="291" spans="2:2" ht="12.75" x14ac:dyDescent="0.2">
      <c r="B291" s="2"/>
    </row>
    <row r="292" spans="2:2" ht="12.75" x14ac:dyDescent="0.2">
      <c r="B292" s="2"/>
    </row>
    <row r="293" spans="2:2" ht="12.75" x14ac:dyDescent="0.2">
      <c r="B293" s="2"/>
    </row>
    <row r="294" spans="2:2" ht="12.75" x14ac:dyDescent="0.2">
      <c r="B294" s="2"/>
    </row>
    <row r="295" spans="2:2" ht="12.75" x14ac:dyDescent="0.2">
      <c r="B295" s="2"/>
    </row>
    <row r="296" spans="2:2" ht="12.75" x14ac:dyDescent="0.2">
      <c r="B296" s="2"/>
    </row>
    <row r="297" spans="2:2" ht="12.75" x14ac:dyDescent="0.2">
      <c r="B297" s="2"/>
    </row>
    <row r="298" spans="2:2" ht="12.75" x14ac:dyDescent="0.2">
      <c r="B298" s="2"/>
    </row>
    <row r="299" spans="2:2" ht="12.75" x14ac:dyDescent="0.2">
      <c r="B299" s="2"/>
    </row>
    <row r="300" spans="2:2" ht="12.75" x14ac:dyDescent="0.2">
      <c r="B300" s="2"/>
    </row>
    <row r="301" spans="2:2" ht="12.75" x14ac:dyDescent="0.2">
      <c r="B301" s="2"/>
    </row>
    <row r="302" spans="2:2" ht="12.75" x14ac:dyDescent="0.2">
      <c r="B302" s="2"/>
    </row>
    <row r="303" spans="2:2" ht="12.75" x14ac:dyDescent="0.2">
      <c r="B303" s="2"/>
    </row>
    <row r="304" spans="2:2" ht="12.75" x14ac:dyDescent="0.2">
      <c r="B304" s="2"/>
    </row>
    <row r="305" spans="2:2" ht="12.75" x14ac:dyDescent="0.2">
      <c r="B305" s="2"/>
    </row>
    <row r="306" spans="2:2" ht="12.75" x14ac:dyDescent="0.2">
      <c r="B306" s="2"/>
    </row>
    <row r="307" spans="2:2" ht="12.75" x14ac:dyDescent="0.2">
      <c r="B307" s="2"/>
    </row>
    <row r="308" spans="2:2" ht="12.75" x14ac:dyDescent="0.2">
      <c r="B308" s="2"/>
    </row>
    <row r="309" spans="2:2" ht="12.75" x14ac:dyDescent="0.2">
      <c r="B309" s="2"/>
    </row>
    <row r="310" spans="2:2" ht="12.75" x14ac:dyDescent="0.2">
      <c r="B310" s="2"/>
    </row>
    <row r="311" spans="2:2" ht="12.75" x14ac:dyDescent="0.2">
      <c r="B311" s="2"/>
    </row>
    <row r="312" spans="2:2" ht="12.75" x14ac:dyDescent="0.2">
      <c r="B312" s="2"/>
    </row>
    <row r="313" spans="2:2" ht="12.75" x14ac:dyDescent="0.2">
      <c r="B313" s="2"/>
    </row>
    <row r="314" spans="2:2" ht="12.75" x14ac:dyDescent="0.2">
      <c r="B314" s="2"/>
    </row>
    <row r="315" spans="2:2" ht="12.75" x14ac:dyDescent="0.2">
      <c r="B315" s="2"/>
    </row>
    <row r="316" spans="2:2" ht="12.75" x14ac:dyDescent="0.2">
      <c r="B316" s="2"/>
    </row>
    <row r="317" spans="2:2" ht="12.75" x14ac:dyDescent="0.2">
      <c r="B317" s="2"/>
    </row>
    <row r="318" spans="2:2" ht="12.75" x14ac:dyDescent="0.2">
      <c r="B318" s="2"/>
    </row>
    <row r="319" spans="2:2" ht="12.75" x14ac:dyDescent="0.2">
      <c r="B319" s="2"/>
    </row>
    <row r="320" spans="2:2" ht="12.75" x14ac:dyDescent="0.2">
      <c r="B320" s="2"/>
    </row>
    <row r="321" spans="2:2" ht="12.75" x14ac:dyDescent="0.2">
      <c r="B321" s="2"/>
    </row>
    <row r="322" spans="2:2" ht="12.75" x14ac:dyDescent="0.2">
      <c r="B322" s="2"/>
    </row>
    <row r="323" spans="2:2" ht="12.75" x14ac:dyDescent="0.2">
      <c r="B323" s="2"/>
    </row>
    <row r="324" spans="2:2" ht="12.75" x14ac:dyDescent="0.2">
      <c r="B324" s="2"/>
    </row>
    <row r="325" spans="2:2" ht="12.75" x14ac:dyDescent="0.2">
      <c r="B325" s="2"/>
    </row>
    <row r="326" spans="2:2" ht="12.75" x14ac:dyDescent="0.2">
      <c r="B326" s="2"/>
    </row>
    <row r="327" spans="2:2" ht="12.75" x14ac:dyDescent="0.2">
      <c r="B327" s="2"/>
    </row>
    <row r="328" spans="2:2" ht="12.75" x14ac:dyDescent="0.2">
      <c r="B328" s="2"/>
    </row>
    <row r="329" spans="2:2" ht="12.75" x14ac:dyDescent="0.2">
      <c r="B329" s="2"/>
    </row>
    <row r="330" spans="2:2" ht="12.75" x14ac:dyDescent="0.2">
      <c r="B330" s="2"/>
    </row>
    <row r="331" spans="2:2" ht="12.75" x14ac:dyDescent="0.2">
      <c r="B331" s="2"/>
    </row>
    <row r="332" spans="2:2" ht="12.75" x14ac:dyDescent="0.2">
      <c r="B332" s="2"/>
    </row>
    <row r="333" spans="2:2" ht="12.75" x14ac:dyDescent="0.2">
      <c r="B333" s="2"/>
    </row>
    <row r="334" spans="2:2" ht="12.75" x14ac:dyDescent="0.2">
      <c r="B334" s="2"/>
    </row>
    <row r="335" spans="2:2" ht="12.75" x14ac:dyDescent="0.2">
      <c r="B335" s="2"/>
    </row>
    <row r="336" spans="2:2" ht="12.75" x14ac:dyDescent="0.2">
      <c r="B336" s="2"/>
    </row>
    <row r="337" spans="2:2" ht="12.75" x14ac:dyDescent="0.2">
      <c r="B337" s="2"/>
    </row>
    <row r="338" spans="2:2" ht="12.75" x14ac:dyDescent="0.2">
      <c r="B338" s="2"/>
    </row>
    <row r="339" spans="2:2" ht="12.75" x14ac:dyDescent="0.2">
      <c r="B339" s="2"/>
    </row>
    <row r="340" spans="2:2" ht="12.75" x14ac:dyDescent="0.2">
      <c r="B340" s="2"/>
    </row>
    <row r="341" spans="2:2" ht="12.75" x14ac:dyDescent="0.2">
      <c r="B341" s="2"/>
    </row>
    <row r="342" spans="2:2" ht="12.75" x14ac:dyDescent="0.2">
      <c r="B342" s="2"/>
    </row>
    <row r="343" spans="2:2" ht="12.75" x14ac:dyDescent="0.2">
      <c r="B343" s="2"/>
    </row>
    <row r="344" spans="2:2" ht="12.75" x14ac:dyDescent="0.2">
      <c r="B344" s="2"/>
    </row>
    <row r="345" spans="2:2" ht="12.75" x14ac:dyDescent="0.2">
      <c r="B345" s="2"/>
    </row>
    <row r="346" spans="2:2" ht="12.75" x14ac:dyDescent="0.2">
      <c r="B346" s="2"/>
    </row>
    <row r="347" spans="2:2" ht="12.75" x14ac:dyDescent="0.2">
      <c r="B347" s="2"/>
    </row>
    <row r="348" spans="2:2" ht="12.75" x14ac:dyDescent="0.2">
      <c r="B348" s="2"/>
    </row>
    <row r="349" spans="2:2" ht="12.75" x14ac:dyDescent="0.2">
      <c r="B349" s="2"/>
    </row>
    <row r="350" spans="2:2" ht="12.75" x14ac:dyDescent="0.2">
      <c r="B350" s="2"/>
    </row>
    <row r="351" spans="2:2" ht="12.75" x14ac:dyDescent="0.2">
      <c r="B351" s="2"/>
    </row>
    <row r="352" spans="2:2" ht="12.75" x14ac:dyDescent="0.2">
      <c r="B352" s="2"/>
    </row>
    <row r="353" spans="2:2" ht="12.75" x14ac:dyDescent="0.2">
      <c r="B353" s="2"/>
    </row>
    <row r="354" spans="2:2" ht="12.75" x14ac:dyDescent="0.2">
      <c r="B354" s="2"/>
    </row>
    <row r="355" spans="2:2" ht="12.75" x14ac:dyDescent="0.2">
      <c r="B355" s="2"/>
    </row>
    <row r="356" spans="2:2" ht="12.75" x14ac:dyDescent="0.2">
      <c r="B356" s="2"/>
    </row>
    <row r="357" spans="2:2" ht="12.75" x14ac:dyDescent="0.2">
      <c r="B357" s="2"/>
    </row>
    <row r="358" spans="2:2" ht="12.75" x14ac:dyDescent="0.2">
      <c r="B358" s="2"/>
    </row>
    <row r="359" spans="2:2" ht="12.75" x14ac:dyDescent="0.2">
      <c r="B359" s="2"/>
    </row>
    <row r="360" spans="2:2" ht="12.75" x14ac:dyDescent="0.2">
      <c r="B360" s="2"/>
    </row>
    <row r="361" spans="2:2" ht="12.75" x14ac:dyDescent="0.2">
      <c r="B361" s="2"/>
    </row>
    <row r="362" spans="2:2" ht="12.75" x14ac:dyDescent="0.2">
      <c r="B362" s="2"/>
    </row>
    <row r="363" spans="2:2" ht="12.75" x14ac:dyDescent="0.2">
      <c r="B363" s="2"/>
    </row>
    <row r="364" spans="2:2" ht="12.75" x14ac:dyDescent="0.2">
      <c r="B364" s="2"/>
    </row>
    <row r="365" spans="2:2" ht="12.75" x14ac:dyDescent="0.2">
      <c r="B365" s="2"/>
    </row>
    <row r="366" spans="2:2" ht="12.75" x14ac:dyDescent="0.2">
      <c r="B366" s="2"/>
    </row>
    <row r="367" spans="2:2" ht="12.75" x14ac:dyDescent="0.2">
      <c r="B367" s="2"/>
    </row>
    <row r="368" spans="2:2" ht="12.75" x14ac:dyDescent="0.2">
      <c r="B368" s="2"/>
    </row>
    <row r="369" spans="2:2" ht="12.75" x14ac:dyDescent="0.2">
      <c r="B369" s="2"/>
    </row>
    <row r="370" spans="2:2" ht="12.75" x14ac:dyDescent="0.2">
      <c r="B370" s="2"/>
    </row>
    <row r="371" spans="2:2" ht="12.75" x14ac:dyDescent="0.2">
      <c r="B371" s="2"/>
    </row>
    <row r="372" spans="2:2" ht="12.75" x14ac:dyDescent="0.2">
      <c r="B372" s="2"/>
    </row>
    <row r="373" spans="2:2" ht="12.75" x14ac:dyDescent="0.2">
      <c r="B373" s="2"/>
    </row>
    <row r="374" spans="2:2" ht="12.75" x14ac:dyDescent="0.2">
      <c r="B374" s="2"/>
    </row>
    <row r="375" spans="2:2" ht="12.75" x14ac:dyDescent="0.2">
      <c r="B375" s="2"/>
    </row>
    <row r="376" spans="2:2" ht="12.75" x14ac:dyDescent="0.2">
      <c r="B376" s="2"/>
    </row>
    <row r="377" spans="2:2" ht="12.75" x14ac:dyDescent="0.2">
      <c r="B377" s="2"/>
    </row>
    <row r="378" spans="2:2" ht="12.75" x14ac:dyDescent="0.2">
      <c r="B378" s="2"/>
    </row>
    <row r="379" spans="2:2" ht="12.75" x14ac:dyDescent="0.2">
      <c r="B379" s="2"/>
    </row>
    <row r="380" spans="2:2" ht="12.75" x14ac:dyDescent="0.2">
      <c r="B380" s="2"/>
    </row>
    <row r="381" spans="2:2" ht="12.75" x14ac:dyDescent="0.2">
      <c r="B381" s="2"/>
    </row>
    <row r="382" spans="2:2" ht="12.75" x14ac:dyDescent="0.2">
      <c r="B382" s="2"/>
    </row>
    <row r="383" spans="2:2" ht="12.75" x14ac:dyDescent="0.2">
      <c r="B383" s="2"/>
    </row>
    <row r="384" spans="2:2" ht="12.75" x14ac:dyDescent="0.2">
      <c r="B384" s="2"/>
    </row>
    <row r="385" spans="2:2" ht="12.75" x14ac:dyDescent="0.2">
      <c r="B385" s="2"/>
    </row>
    <row r="386" spans="2:2" ht="12.75" x14ac:dyDescent="0.2">
      <c r="B386" s="2"/>
    </row>
    <row r="387" spans="2:2" ht="12.75" x14ac:dyDescent="0.2">
      <c r="B387" s="2"/>
    </row>
    <row r="388" spans="2:2" ht="12.75" x14ac:dyDescent="0.2">
      <c r="B388" s="2"/>
    </row>
    <row r="389" spans="2:2" ht="12.75" x14ac:dyDescent="0.2">
      <c r="B389" s="2"/>
    </row>
    <row r="390" spans="2:2" ht="12.75" x14ac:dyDescent="0.2">
      <c r="B390" s="2"/>
    </row>
    <row r="391" spans="2:2" ht="12.75" x14ac:dyDescent="0.2">
      <c r="B391" s="2"/>
    </row>
    <row r="392" spans="2:2" ht="12.75" x14ac:dyDescent="0.2">
      <c r="B392" s="2"/>
    </row>
    <row r="393" spans="2:2" ht="12.75" x14ac:dyDescent="0.2">
      <c r="B393" s="2"/>
    </row>
    <row r="394" spans="2:2" ht="12.75" x14ac:dyDescent="0.2">
      <c r="B394" s="2"/>
    </row>
    <row r="395" spans="2:2" ht="12.75" x14ac:dyDescent="0.2">
      <c r="B395" s="2"/>
    </row>
    <row r="396" spans="2:2" ht="12.75" x14ac:dyDescent="0.2">
      <c r="B396" s="2"/>
    </row>
    <row r="397" spans="2:2" ht="12.75" x14ac:dyDescent="0.2">
      <c r="B397" s="2"/>
    </row>
    <row r="398" spans="2:2" ht="12.75" x14ac:dyDescent="0.2">
      <c r="B398" s="2"/>
    </row>
    <row r="399" spans="2:2" ht="12.75" x14ac:dyDescent="0.2">
      <c r="B399" s="2"/>
    </row>
    <row r="400" spans="2:2" ht="12.75" x14ac:dyDescent="0.2">
      <c r="B400" s="2"/>
    </row>
    <row r="401" spans="2:2" ht="12.75" x14ac:dyDescent="0.2">
      <c r="B401" s="2"/>
    </row>
    <row r="402" spans="2:2" ht="12.75" x14ac:dyDescent="0.2">
      <c r="B402" s="2"/>
    </row>
    <row r="403" spans="2:2" ht="12.75" x14ac:dyDescent="0.2">
      <c r="B403" s="2"/>
    </row>
    <row r="404" spans="2:2" ht="12.75" x14ac:dyDescent="0.2">
      <c r="B404" s="2"/>
    </row>
    <row r="405" spans="2:2" ht="12.75" x14ac:dyDescent="0.2">
      <c r="B405" s="2"/>
    </row>
    <row r="406" spans="2:2" ht="12.75" x14ac:dyDescent="0.2">
      <c r="B406" s="2"/>
    </row>
    <row r="407" spans="2:2" ht="12.75" x14ac:dyDescent="0.2">
      <c r="B407" s="2"/>
    </row>
    <row r="408" spans="2:2" ht="12.75" x14ac:dyDescent="0.2">
      <c r="B408" s="2"/>
    </row>
    <row r="409" spans="2:2" ht="12.75" x14ac:dyDescent="0.2">
      <c r="B409" s="2"/>
    </row>
    <row r="410" spans="2:2" ht="12.75" x14ac:dyDescent="0.2">
      <c r="B410" s="2"/>
    </row>
    <row r="411" spans="2:2" ht="12.75" x14ac:dyDescent="0.2">
      <c r="B411" s="2"/>
    </row>
    <row r="412" spans="2:2" ht="12.75" x14ac:dyDescent="0.2">
      <c r="B412" s="2"/>
    </row>
    <row r="413" spans="2:2" ht="12.75" x14ac:dyDescent="0.2">
      <c r="B413" s="2"/>
    </row>
    <row r="414" spans="2:2" ht="12.75" x14ac:dyDescent="0.2">
      <c r="B414" s="2"/>
    </row>
    <row r="415" spans="2:2" ht="12.75" x14ac:dyDescent="0.2">
      <c r="B415" s="2"/>
    </row>
    <row r="416" spans="2:2" ht="12.75" x14ac:dyDescent="0.2">
      <c r="B416" s="2"/>
    </row>
    <row r="417" spans="2:2" ht="12.75" x14ac:dyDescent="0.2">
      <c r="B417" s="2"/>
    </row>
    <row r="418" spans="2:2" ht="12.75" x14ac:dyDescent="0.2">
      <c r="B418" s="2"/>
    </row>
    <row r="419" spans="2:2" ht="12.75" x14ac:dyDescent="0.2">
      <c r="B419" s="2"/>
    </row>
    <row r="420" spans="2:2" ht="12.75" x14ac:dyDescent="0.2">
      <c r="B420" s="2"/>
    </row>
    <row r="421" spans="2:2" ht="12.75" x14ac:dyDescent="0.2">
      <c r="B421" s="2"/>
    </row>
    <row r="422" spans="2:2" ht="12.75" x14ac:dyDescent="0.2">
      <c r="B422" s="2"/>
    </row>
    <row r="423" spans="2:2" ht="12.75" x14ac:dyDescent="0.2">
      <c r="B423" s="2"/>
    </row>
    <row r="424" spans="2:2" ht="12.75" x14ac:dyDescent="0.2">
      <c r="B424" s="2"/>
    </row>
    <row r="425" spans="2:2" ht="12.75" x14ac:dyDescent="0.2">
      <c r="B425" s="2"/>
    </row>
    <row r="426" spans="2:2" ht="12.75" x14ac:dyDescent="0.2">
      <c r="B426" s="2"/>
    </row>
    <row r="427" spans="2:2" ht="12.75" x14ac:dyDescent="0.2">
      <c r="B427" s="2"/>
    </row>
    <row r="428" spans="2:2" ht="12.75" x14ac:dyDescent="0.2">
      <c r="B428" s="2"/>
    </row>
    <row r="429" spans="2:2" ht="12.75" x14ac:dyDescent="0.2">
      <c r="B429" s="2"/>
    </row>
    <row r="430" spans="2:2" ht="12.75" x14ac:dyDescent="0.2">
      <c r="B430" s="2"/>
    </row>
    <row r="431" spans="2:2" ht="12.75" x14ac:dyDescent="0.2">
      <c r="B431" s="2"/>
    </row>
    <row r="432" spans="2:2" ht="12.75" x14ac:dyDescent="0.2">
      <c r="B432" s="2"/>
    </row>
    <row r="433" spans="2:2" ht="12.75" x14ac:dyDescent="0.2">
      <c r="B433" s="2"/>
    </row>
    <row r="434" spans="2:2" ht="12.75" x14ac:dyDescent="0.2">
      <c r="B434" s="2"/>
    </row>
    <row r="435" spans="2:2" ht="12.75" x14ac:dyDescent="0.2">
      <c r="B435" s="2"/>
    </row>
    <row r="436" spans="2:2" ht="12.75" x14ac:dyDescent="0.2">
      <c r="B436" s="2"/>
    </row>
    <row r="437" spans="2:2" ht="12.75" x14ac:dyDescent="0.2">
      <c r="B437" s="2"/>
    </row>
    <row r="438" spans="2:2" ht="12.75" x14ac:dyDescent="0.2">
      <c r="B438" s="2"/>
    </row>
    <row r="439" spans="2:2" ht="12.75" x14ac:dyDescent="0.2">
      <c r="B439" s="2"/>
    </row>
    <row r="440" spans="2:2" ht="12.75" x14ac:dyDescent="0.2">
      <c r="B440" s="2"/>
    </row>
    <row r="441" spans="2:2" ht="12.75" x14ac:dyDescent="0.2">
      <c r="B441" s="2"/>
    </row>
    <row r="442" spans="2:2" ht="12.75" x14ac:dyDescent="0.2">
      <c r="B442" s="2"/>
    </row>
    <row r="443" spans="2:2" ht="12.75" x14ac:dyDescent="0.2">
      <c r="B443" s="2"/>
    </row>
    <row r="444" spans="2:2" ht="12.75" x14ac:dyDescent="0.2">
      <c r="B444" s="2"/>
    </row>
    <row r="445" spans="2:2" ht="12.75" x14ac:dyDescent="0.2">
      <c r="B445" s="2"/>
    </row>
    <row r="446" spans="2:2" ht="12.75" x14ac:dyDescent="0.2">
      <c r="B446" s="2"/>
    </row>
    <row r="447" spans="2:2" ht="12.75" x14ac:dyDescent="0.2">
      <c r="B447" s="2"/>
    </row>
    <row r="448" spans="2:2" ht="12.75" x14ac:dyDescent="0.2">
      <c r="B448" s="2"/>
    </row>
    <row r="449" spans="2:2" ht="12.75" x14ac:dyDescent="0.2">
      <c r="B449" s="2"/>
    </row>
    <row r="450" spans="2:2" ht="12.75" x14ac:dyDescent="0.2">
      <c r="B450" s="2"/>
    </row>
    <row r="451" spans="2:2" ht="12.75" x14ac:dyDescent="0.2">
      <c r="B451" s="2"/>
    </row>
    <row r="452" spans="2:2" ht="12.75" x14ac:dyDescent="0.2">
      <c r="B452" s="2"/>
    </row>
    <row r="453" spans="2:2" ht="12.75" x14ac:dyDescent="0.2">
      <c r="B453" s="2"/>
    </row>
    <row r="454" spans="2:2" ht="12.75" x14ac:dyDescent="0.2">
      <c r="B454" s="2"/>
    </row>
    <row r="455" spans="2:2" ht="12.75" x14ac:dyDescent="0.2">
      <c r="B455" s="2"/>
    </row>
    <row r="456" spans="2:2" ht="12.75" x14ac:dyDescent="0.2">
      <c r="B456" s="2"/>
    </row>
    <row r="457" spans="2:2" ht="12.75" x14ac:dyDescent="0.2">
      <c r="B457" s="2"/>
    </row>
    <row r="458" spans="2:2" ht="12.75" x14ac:dyDescent="0.2">
      <c r="B458" s="2"/>
    </row>
    <row r="459" spans="2:2" ht="12.75" x14ac:dyDescent="0.2">
      <c r="B459" s="2"/>
    </row>
    <row r="460" spans="2:2" ht="12.75" x14ac:dyDescent="0.2">
      <c r="B460" s="2"/>
    </row>
    <row r="461" spans="2:2" ht="12.75" x14ac:dyDescent="0.2">
      <c r="B461" s="2"/>
    </row>
    <row r="462" spans="2:2" ht="12.75" x14ac:dyDescent="0.2">
      <c r="B462" s="2"/>
    </row>
    <row r="463" spans="2:2" ht="12.75" x14ac:dyDescent="0.2">
      <c r="B463" s="2"/>
    </row>
    <row r="464" spans="2:2" ht="12.75" x14ac:dyDescent="0.2">
      <c r="B464" s="2"/>
    </row>
    <row r="465" spans="2:2" ht="12.75" x14ac:dyDescent="0.2">
      <c r="B465" s="2"/>
    </row>
    <row r="466" spans="2:2" ht="12.75" x14ac:dyDescent="0.2">
      <c r="B466" s="2"/>
    </row>
    <row r="467" spans="2:2" ht="12.75" x14ac:dyDescent="0.2">
      <c r="B467" s="2"/>
    </row>
    <row r="468" spans="2:2" ht="12.75" x14ac:dyDescent="0.2">
      <c r="B468" s="2"/>
    </row>
    <row r="469" spans="2:2" ht="12.75" x14ac:dyDescent="0.2">
      <c r="B469" s="2"/>
    </row>
    <row r="470" spans="2:2" ht="12.75" x14ac:dyDescent="0.2">
      <c r="B470" s="2"/>
    </row>
    <row r="471" spans="2:2" ht="12.75" x14ac:dyDescent="0.2">
      <c r="B471" s="2"/>
    </row>
    <row r="472" spans="2:2" ht="12.75" x14ac:dyDescent="0.2">
      <c r="B472" s="2"/>
    </row>
    <row r="473" spans="2:2" ht="12.75" x14ac:dyDescent="0.2">
      <c r="B473" s="2"/>
    </row>
    <row r="474" spans="2:2" ht="12.75" x14ac:dyDescent="0.2">
      <c r="B474" s="2"/>
    </row>
    <row r="475" spans="2:2" ht="12.75" x14ac:dyDescent="0.2">
      <c r="B475" s="2"/>
    </row>
    <row r="476" spans="2:2" ht="12.75" x14ac:dyDescent="0.2">
      <c r="B476" s="2"/>
    </row>
    <row r="477" spans="2:2" ht="12.75" x14ac:dyDescent="0.2">
      <c r="B477" s="2"/>
    </row>
    <row r="478" spans="2:2" ht="12.75" x14ac:dyDescent="0.2">
      <c r="B478" s="2"/>
    </row>
    <row r="479" spans="2:2" ht="12.75" x14ac:dyDescent="0.2">
      <c r="B479" s="2"/>
    </row>
    <row r="480" spans="2:2" ht="12.75" x14ac:dyDescent="0.2">
      <c r="B480" s="2"/>
    </row>
    <row r="481" spans="2:2" ht="12.75" x14ac:dyDescent="0.2">
      <c r="B481" s="2"/>
    </row>
    <row r="482" spans="2:2" ht="12.75" x14ac:dyDescent="0.2">
      <c r="B482" s="2"/>
    </row>
    <row r="483" spans="2:2" ht="12.75" x14ac:dyDescent="0.2">
      <c r="B483" s="2"/>
    </row>
    <row r="484" spans="2:2" ht="12.75" x14ac:dyDescent="0.2">
      <c r="B484" s="2"/>
    </row>
    <row r="485" spans="2:2" ht="12.75" x14ac:dyDescent="0.2">
      <c r="B485" s="2"/>
    </row>
    <row r="486" spans="2:2" ht="12.75" x14ac:dyDescent="0.2">
      <c r="B486" s="2"/>
    </row>
    <row r="487" spans="2:2" ht="12.75" x14ac:dyDescent="0.2">
      <c r="B487" s="2"/>
    </row>
    <row r="488" spans="2:2" ht="12.75" x14ac:dyDescent="0.2">
      <c r="B488" s="2"/>
    </row>
    <row r="489" spans="2:2" ht="12.75" x14ac:dyDescent="0.2">
      <c r="B489" s="2"/>
    </row>
    <row r="490" spans="2:2" ht="12.75" x14ac:dyDescent="0.2">
      <c r="B490" s="2"/>
    </row>
    <row r="491" spans="2:2" ht="12.75" x14ac:dyDescent="0.2">
      <c r="B491" s="2"/>
    </row>
    <row r="492" spans="2:2" ht="12.75" x14ac:dyDescent="0.2">
      <c r="B492" s="2"/>
    </row>
    <row r="493" spans="2:2" ht="12.75" x14ac:dyDescent="0.2">
      <c r="B493" s="2"/>
    </row>
    <row r="494" spans="2:2" ht="12.75" x14ac:dyDescent="0.2">
      <c r="B494" s="2"/>
    </row>
    <row r="495" spans="2:2" ht="12.75" x14ac:dyDescent="0.2">
      <c r="B495" s="2"/>
    </row>
    <row r="496" spans="2:2" ht="12.75" x14ac:dyDescent="0.2">
      <c r="B496" s="2"/>
    </row>
    <row r="497" spans="2:2" ht="12.75" x14ac:dyDescent="0.2">
      <c r="B497" s="2"/>
    </row>
    <row r="498" spans="2:2" ht="12.75" x14ac:dyDescent="0.2">
      <c r="B498" s="2"/>
    </row>
    <row r="499" spans="2:2" ht="12.75" x14ac:dyDescent="0.2">
      <c r="B499" s="2"/>
    </row>
    <row r="500" spans="2:2" ht="12.75" x14ac:dyDescent="0.2">
      <c r="B500" s="2"/>
    </row>
    <row r="501" spans="2:2" ht="12.75" x14ac:dyDescent="0.2">
      <c r="B501" s="2"/>
    </row>
    <row r="502" spans="2:2" ht="12.75" x14ac:dyDescent="0.2">
      <c r="B502" s="2"/>
    </row>
    <row r="503" spans="2:2" ht="12.75" x14ac:dyDescent="0.2">
      <c r="B503" s="2"/>
    </row>
    <row r="504" spans="2:2" ht="12.75" x14ac:dyDescent="0.2">
      <c r="B504" s="2"/>
    </row>
    <row r="505" spans="2:2" ht="12.75" x14ac:dyDescent="0.2">
      <c r="B505" s="2"/>
    </row>
    <row r="506" spans="2:2" ht="12.75" x14ac:dyDescent="0.2">
      <c r="B506" s="2"/>
    </row>
    <row r="507" spans="2:2" ht="12.75" x14ac:dyDescent="0.2">
      <c r="B507" s="2"/>
    </row>
    <row r="508" spans="2:2" ht="12.75" x14ac:dyDescent="0.2">
      <c r="B508" s="2"/>
    </row>
    <row r="509" spans="2:2" ht="12.75" x14ac:dyDescent="0.2">
      <c r="B509" s="2"/>
    </row>
    <row r="510" spans="2:2" ht="12.75" x14ac:dyDescent="0.2">
      <c r="B510" s="2"/>
    </row>
    <row r="511" spans="2:2" ht="12.75" x14ac:dyDescent="0.2">
      <c r="B511" s="2"/>
    </row>
    <row r="512" spans="2:2" ht="12.75" x14ac:dyDescent="0.2">
      <c r="B512" s="2"/>
    </row>
    <row r="513" spans="2:2" ht="12.75" x14ac:dyDescent="0.2">
      <c r="B513" s="2"/>
    </row>
    <row r="514" spans="2:2" ht="12.75" x14ac:dyDescent="0.2">
      <c r="B514" s="2"/>
    </row>
    <row r="515" spans="2:2" ht="12.75" x14ac:dyDescent="0.2">
      <c r="B515" s="2"/>
    </row>
    <row r="516" spans="2:2" ht="12.75" x14ac:dyDescent="0.2">
      <c r="B516" s="2"/>
    </row>
    <row r="517" spans="2:2" ht="12.75" x14ac:dyDescent="0.2">
      <c r="B517" s="2"/>
    </row>
    <row r="518" spans="2:2" ht="12.75" x14ac:dyDescent="0.2">
      <c r="B518" s="2"/>
    </row>
    <row r="519" spans="2:2" ht="12.75" x14ac:dyDescent="0.2">
      <c r="B519" s="2"/>
    </row>
    <row r="520" spans="2:2" ht="12.75" x14ac:dyDescent="0.2">
      <c r="B520" s="2"/>
    </row>
    <row r="521" spans="2:2" ht="12.75" x14ac:dyDescent="0.2">
      <c r="B521" s="2"/>
    </row>
    <row r="522" spans="2:2" ht="12.75" x14ac:dyDescent="0.2">
      <c r="B522" s="2"/>
    </row>
    <row r="523" spans="2:2" ht="12.75" x14ac:dyDescent="0.2">
      <c r="B523" s="2"/>
    </row>
    <row r="524" spans="2:2" ht="12.75" x14ac:dyDescent="0.2">
      <c r="B524" s="2"/>
    </row>
    <row r="525" spans="2:2" ht="12.75" x14ac:dyDescent="0.2">
      <c r="B525" s="2"/>
    </row>
    <row r="526" spans="2:2" ht="12.75" x14ac:dyDescent="0.2">
      <c r="B526" s="2"/>
    </row>
    <row r="527" spans="2:2" ht="12.75" x14ac:dyDescent="0.2">
      <c r="B527" s="2"/>
    </row>
    <row r="528" spans="2:2" ht="12.75" x14ac:dyDescent="0.2">
      <c r="B528" s="2"/>
    </row>
    <row r="529" spans="2:2" ht="12.75" x14ac:dyDescent="0.2">
      <c r="B529" s="2"/>
    </row>
    <row r="530" spans="2:2" ht="12.75" x14ac:dyDescent="0.2">
      <c r="B530" s="2"/>
    </row>
    <row r="531" spans="2:2" ht="12.75" x14ac:dyDescent="0.2">
      <c r="B531" s="2"/>
    </row>
    <row r="532" spans="2:2" ht="12.75" x14ac:dyDescent="0.2">
      <c r="B532" s="2"/>
    </row>
    <row r="533" spans="2:2" ht="12.75" x14ac:dyDescent="0.2">
      <c r="B533" s="2"/>
    </row>
    <row r="534" spans="2:2" ht="12.75" x14ac:dyDescent="0.2">
      <c r="B534" s="2"/>
    </row>
    <row r="535" spans="2:2" ht="12.75" x14ac:dyDescent="0.2">
      <c r="B535" s="2"/>
    </row>
    <row r="536" spans="2:2" ht="12.75" x14ac:dyDescent="0.2">
      <c r="B536" s="2"/>
    </row>
    <row r="537" spans="2:2" ht="12.75" x14ac:dyDescent="0.2">
      <c r="B537" s="2"/>
    </row>
    <row r="538" spans="2:2" ht="12.75" x14ac:dyDescent="0.2">
      <c r="B538" s="2"/>
    </row>
    <row r="539" spans="2:2" ht="12.75" x14ac:dyDescent="0.2">
      <c r="B539" s="2"/>
    </row>
    <row r="540" spans="2:2" ht="12.75" x14ac:dyDescent="0.2">
      <c r="B540" s="2"/>
    </row>
    <row r="541" spans="2:2" ht="12.75" x14ac:dyDescent="0.2">
      <c r="B541" s="2"/>
    </row>
    <row r="542" spans="2:2" ht="12.75" x14ac:dyDescent="0.2">
      <c r="B542" s="2"/>
    </row>
    <row r="543" spans="2:2" ht="12.75" x14ac:dyDescent="0.2">
      <c r="B543" s="2"/>
    </row>
    <row r="544" spans="2:2" ht="12.75" x14ac:dyDescent="0.2">
      <c r="B544" s="2"/>
    </row>
    <row r="545" spans="2:2" ht="12.75" x14ac:dyDescent="0.2">
      <c r="B545" s="2"/>
    </row>
    <row r="546" spans="2:2" ht="12.75" x14ac:dyDescent="0.2">
      <c r="B546" s="2"/>
    </row>
    <row r="547" spans="2:2" ht="12.75" x14ac:dyDescent="0.2">
      <c r="B547" s="2"/>
    </row>
    <row r="548" spans="2:2" ht="12.75" x14ac:dyDescent="0.2">
      <c r="B548" s="2"/>
    </row>
    <row r="549" spans="2:2" ht="12.75" x14ac:dyDescent="0.2">
      <c r="B549" s="2"/>
    </row>
    <row r="550" spans="2:2" ht="12.75" x14ac:dyDescent="0.2">
      <c r="B550" s="2"/>
    </row>
    <row r="551" spans="2:2" ht="12.75" x14ac:dyDescent="0.2">
      <c r="B551" s="2"/>
    </row>
    <row r="552" spans="2:2" ht="12.75" x14ac:dyDescent="0.2">
      <c r="B552" s="2"/>
    </row>
    <row r="553" spans="2:2" ht="12.75" x14ac:dyDescent="0.2">
      <c r="B553" s="2"/>
    </row>
    <row r="554" spans="2:2" ht="12.75" x14ac:dyDescent="0.2">
      <c r="B554" s="2"/>
    </row>
    <row r="555" spans="2:2" ht="12.75" x14ac:dyDescent="0.2">
      <c r="B555" s="2"/>
    </row>
    <row r="556" spans="2:2" ht="12.75" x14ac:dyDescent="0.2">
      <c r="B556" s="2"/>
    </row>
    <row r="557" spans="2:2" ht="12.75" x14ac:dyDescent="0.2">
      <c r="B557" s="2"/>
    </row>
    <row r="558" spans="2:2" ht="12.75" x14ac:dyDescent="0.2">
      <c r="B558" s="2"/>
    </row>
    <row r="559" spans="2:2" ht="12.75" x14ac:dyDescent="0.2">
      <c r="B559" s="2"/>
    </row>
    <row r="560" spans="2:2" ht="12.75" x14ac:dyDescent="0.2">
      <c r="B560" s="2"/>
    </row>
    <row r="561" spans="2:2" ht="12.75" x14ac:dyDescent="0.2">
      <c r="B561" s="2"/>
    </row>
    <row r="562" spans="2:2" ht="12.75" x14ac:dyDescent="0.2">
      <c r="B562" s="2"/>
    </row>
    <row r="563" spans="2:2" ht="12.75" x14ac:dyDescent="0.2">
      <c r="B563" s="2"/>
    </row>
    <row r="564" spans="2:2" ht="12.75" x14ac:dyDescent="0.2">
      <c r="B564" s="2"/>
    </row>
    <row r="565" spans="2:2" ht="12.75" x14ac:dyDescent="0.2">
      <c r="B565" s="2"/>
    </row>
    <row r="566" spans="2:2" ht="12.75" x14ac:dyDescent="0.2">
      <c r="B566" s="2"/>
    </row>
    <row r="567" spans="2:2" ht="12.75" x14ac:dyDescent="0.2">
      <c r="B567" s="2"/>
    </row>
    <row r="568" spans="2:2" ht="12.75" x14ac:dyDescent="0.2">
      <c r="B568" s="2"/>
    </row>
    <row r="569" spans="2:2" ht="12.75" x14ac:dyDescent="0.2">
      <c r="B569" s="2"/>
    </row>
    <row r="570" spans="2:2" ht="12.75" x14ac:dyDescent="0.2">
      <c r="B570" s="2"/>
    </row>
    <row r="571" spans="2:2" ht="12.75" x14ac:dyDescent="0.2">
      <c r="B571" s="2"/>
    </row>
    <row r="572" spans="2:2" ht="12.75" x14ac:dyDescent="0.2">
      <c r="B572" s="2"/>
    </row>
    <row r="573" spans="2:2" ht="12.75" x14ac:dyDescent="0.2">
      <c r="B573" s="2"/>
    </row>
    <row r="574" spans="2:2" ht="12.75" x14ac:dyDescent="0.2">
      <c r="B574" s="2"/>
    </row>
    <row r="575" spans="2:2" ht="12.75" x14ac:dyDescent="0.2">
      <c r="B575" s="2"/>
    </row>
    <row r="576" spans="2:2" ht="12.75" x14ac:dyDescent="0.2">
      <c r="B576" s="2"/>
    </row>
    <row r="577" spans="2:2" ht="12.75" x14ac:dyDescent="0.2">
      <c r="B577" s="2"/>
    </row>
    <row r="578" spans="2:2" ht="12.75" x14ac:dyDescent="0.2">
      <c r="B578" s="2"/>
    </row>
    <row r="579" spans="2:2" ht="12.75" x14ac:dyDescent="0.2">
      <c r="B579" s="2"/>
    </row>
    <row r="580" spans="2:2" ht="12.75" x14ac:dyDescent="0.2">
      <c r="B580" s="2"/>
    </row>
    <row r="581" spans="2:2" ht="12.75" x14ac:dyDescent="0.2">
      <c r="B581" s="2"/>
    </row>
    <row r="582" spans="2:2" ht="12.75" x14ac:dyDescent="0.2">
      <c r="B582" s="2"/>
    </row>
    <row r="583" spans="2:2" ht="12.75" x14ac:dyDescent="0.2">
      <c r="B583" s="2"/>
    </row>
    <row r="584" spans="2:2" ht="12.75" x14ac:dyDescent="0.2">
      <c r="B584" s="2"/>
    </row>
    <row r="585" spans="2:2" ht="12.75" x14ac:dyDescent="0.2">
      <c r="B585" s="2"/>
    </row>
    <row r="586" spans="2:2" ht="12.75" x14ac:dyDescent="0.2">
      <c r="B586" s="2"/>
    </row>
    <row r="587" spans="2:2" ht="12.75" x14ac:dyDescent="0.2">
      <c r="B587" s="2"/>
    </row>
    <row r="588" spans="2:2" ht="12.75" x14ac:dyDescent="0.2">
      <c r="B588" s="2"/>
    </row>
    <row r="589" spans="2:2" ht="12.75" x14ac:dyDescent="0.2">
      <c r="B589" s="2"/>
    </row>
    <row r="590" spans="2:2" ht="12.75" x14ac:dyDescent="0.2">
      <c r="B590" s="2"/>
    </row>
    <row r="591" spans="2:2" ht="12.75" x14ac:dyDescent="0.2">
      <c r="B591" s="2"/>
    </row>
    <row r="592" spans="2:2" ht="12.75" x14ac:dyDescent="0.2">
      <c r="B592" s="2"/>
    </row>
    <row r="593" spans="2:2" ht="12.75" x14ac:dyDescent="0.2">
      <c r="B593" s="2"/>
    </row>
    <row r="594" spans="2:2" ht="12.75" x14ac:dyDescent="0.2">
      <c r="B594" s="2"/>
    </row>
    <row r="595" spans="2:2" ht="12.75" x14ac:dyDescent="0.2">
      <c r="B595" s="2"/>
    </row>
    <row r="596" spans="2:2" ht="12.75" x14ac:dyDescent="0.2">
      <c r="B596" s="2"/>
    </row>
    <row r="597" spans="2:2" ht="12.75" x14ac:dyDescent="0.2">
      <c r="B597" s="2"/>
    </row>
    <row r="598" spans="2:2" ht="12.75" x14ac:dyDescent="0.2">
      <c r="B598" s="2"/>
    </row>
    <row r="599" spans="2:2" ht="12.75" x14ac:dyDescent="0.2">
      <c r="B599" s="2"/>
    </row>
    <row r="600" spans="2:2" ht="12.75" x14ac:dyDescent="0.2">
      <c r="B600" s="2"/>
    </row>
    <row r="601" spans="2:2" ht="12.75" x14ac:dyDescent="0.2">
      <c r="B601" s="2"/>
    </row>
    <row r="602" spans="2:2" ht="12.75" x14ac:dyDescent="0.2">
      <c r="B602" s="2"/>
    </row>
    <row r="603" spans="2:2" ht="12.75" x14ac:dyDescent="0.2">
      <c r="B603" s="2"/>
    </row>
    <row r="604" spans="2:2" ht="12.75" x14ac:dyDescent="0.2">
      <c r="B604" s="2"/>
    </row>
    <row r="605" spans="2:2" ht="12.75" x14ac:dyDescent="0.2">
      <c r="B605" s="2"/>
    </row>
    <row r="606" spans="2:2" ht="12.75" x14ac:dyDescent="0.2">
      <c r="B606" s="2"/>
    </row>
    <row r="607" spans="2:2" ht="12.75" x14ac:dyDescent="0.2">
      <c r="B607" s="2"/>
    </row>
    <row r="608" spans="2:2" ht="12.75" x14ac:dyDescent="0.2">
      <c r="B608" s="2"/>
    </row>
    <row r="609" spans="2:2" ht="12.75" x14ac:dyDescent="0.2">
      <c r="B609" s="2"/>
    </row>
    <row r="610" spans="2:2" ht="12.75" x14ac:dyDescent="0.2">
      <c r="B610" s="2"/>
    </row>
    <row r="611" spans="2:2" ht="12.75" x14ac:dyDescent="0.2">
      <c r="B611" s="2"/>
    </row>
    <row r="612" spans="2:2" ht="12.75" x14ac:dyDescent="0.2">
      <c r="B612" s="2"/>
    </row>
    <row r="613" spans="2:2" ht="12.75" x14ac:dyDescent="0.2">
      <c r="B613" s="2"/>
    </row>
    <row r="614" spans="2:2" ht="12.75" x14ac:dyDescent="0.2">
      <c r="B614" s="2"/>
    </row>
    <row r="615" spans="2:2" ht="12.75" x14ac:dyDescent="0.2">
      <c r="B615" s="2"/>
    </row>
    <row r="616" spans="2:2" ht="12.75" x14ac:dyDescent="0.2">
      <c r="B616" s="2"/>
    </row>
    <row r="617" spans="2:2" ht="12.75" x14ac:dyDescent="0.2">
      <c r="B617" s="2"/>
    </row>
    <row r="618" spans="2:2" ht="12.75" x14ac:dyDescent="0.2">
      <c r="B618" s="2"/>
    </row>
    <row r="619" spans="2:2" ht="12.75" x14ac:dyDescent="0.2">
      <c r="B619" s="2"/>
    </row>
    <row r="620" spans="2:2" ht="12.75" x14ac:dyDescent="0.2">
      <c r="B620" s="2"/>
    </row>
    <row r="621" spans="2:2" ht="12.75" x14ac:dyDescent="0.2">
      <c r="B621" s="2"/>
    </row>
    <row r="622" spans="2:2" ht="12.75" x14ac:dyDescent="0.2">
      <c r="B622" s="2"/>
    </row>
    <row r="623" spans="2:2" ht="12.75" x14ac:dyDescent="0.2">
      <c r="B623" s="2"/>
    </row>
    <row r="624" spans="2:2" ht="12.75" x14ac:dyDescent="0.2">
      <c r="B624" s="2"/>
    </row>
    <row r="625" spans="2:2" ht="12.75" x14ac:dyDescent="0.2">
      <c r="B625" s="2"/>
    </row>
    <row r="626" spans="2:2" ht="12.75" x14ac:dyDescent="0.2">
      <c r="B626" s="2"/>
    </row>
    <row r="627" spans="2:2" ht="12.75" x14ac:dyDescent="0.2">
      <c r="B627" s="2"/>
    </row>
    <row r="628" spans="2:2" ht="12.75" x14ac:dyDescent="0.2">
      <c r="B628" s="2"/>
    </row>
    <row r="629" spans="2:2" ht="12.75" x14ac:dyDescent="0.2">
      <c r="B629" s="2"/>
    </row>
    <row r="630" spans="2:2" ht="12.75" x14ac:dyDescent="0.2">
      <c r="B630" s="2"/>
    </row>
    <row r="631" spans="2:2" ht="12.75" x14ac:dyDescent="0.2">
      <c r="B631" s="2"/>
    </row>
    <row r="632" spans="2:2" ht="12.75" x14ac:dyDescent="0.2">
      <c r="B632" s="2"/>
    </row>
    <row r="633" spans="2:2" ht="12.75" x14ac:dyDescent="0.2">
      <c r="B633" s="2"/>
    </row>
    <row r="634" spans="2:2" ht="12.75" x14ac:dyDescent="0.2">
      <c r="B634" s="2"/>
    </row>
    <row r="635" spans="2:2" ht="12.75" x14ac:dyDescent="0.2">
      <c r="B635" s="2"/>
    </row>
    <row r="636" spans="2:2" ht="12.75" x14ac:dyDescent="0.2">
      <c r="B636" s="2"/>
    </row>
    <row r="637" spans="2:2" ht="12.75" x14ac:dyDescent="0.2">
      <c r="B637" s="2"/>
    </row>
    <row r="638" spans="2:2" ht="12.75" x14ac:dyDescent="0.2">
      <c r="B638" s="2"/>
    </row>
    <row r="639" spans="2:2" ht="12.75" x14ac:dyDescent="0.2">
      <c r="B639" s="2"/>
    </row>
    <row r="640" spans="2:2" ht="12.75" x14ac:dyDescent="0.2">
      <c r="B640" s="2"/>
    </row>
    <row r="641" spans="2:2" ht="12.75" x14ac:dyDescent="0.2">
      <c r="B641" s="2"/>
    </row>
    <row r="642" spans="2:2" ht="12.75" x14ac:dyDescent="0.2">
      <c r="B642" s="2"/>
    </row>
    <row r="643" spans="2:2" ht="12.75" x14ac:dyDescent="0.2">
      <c r="B643" s="2"/>
    </row>
    <row r="644" spans="2:2" ht="12.75" x14ac:dyDescent="0.2">
      <c r="B644" s="2"/>
    </row>
    <row r="645" spans="2:2" ht="12.75" x14ac:dyDescent="0.2">
      <c r="B645" s="2"/>
    </row>
    <row r="646" spans="2:2" ht="12.75" x14ac:dyDescent="0.2">
      <c r="B646" s="2"/>
    </row>
    <row r="647" spans="2:2" ht="12.75" x14ac:dyDescent="0.2">
      <c r="B647" s="2"/>
    </row>
    <row r="648" spans="2:2" ht="12.75" x14ac:dyDescent="0.2">
      <c r="B648" s="2"/>
    </row>
    <row r="649" spans="2:2" ht="12.75" x14ac:dyDescent="0.2">
      <c r="B649" s="2"/>
    </row>
    <row r="650" spans="2:2" ht="12.75" x14ac:dyDescent="0.2">
      <c r="B650" s="2"/>
    </row>
    <row r="651" spans="2:2" ht="12.75" x14ac:dyDescent="0.2">
      <c r="B651" s="2"/>
    </row>
    <row r="652" spans="2:2" ht="12.75" x14ac:dyDescent="0.2">
      <c r="B652" s="2"/>
    </row>
    <row r="653" spans="2:2" ht="12.75" x14ac:dyDescent="0.2">
      <c r="B653" s="2"/>
    </row>
    <row r="654" spans="2:2" ht="12.75" x14ac:dyDescent="0.2">
      <c r="B654" s="2"/>
    </row>
    <row r="655" spans="2:2" ht="12.75" x14ac:dyDescent="0.2">
      <c r="B655" s="2"/>
    </row>
    <row r="656" spans="2:2" ht="12.75" x14ac:dyDescent="0.2">
      <c r="B656" s="2"/>
    </row>
    <row r="657" spans="2:2" ht="12.75" x14ac:dyDescent="0.2">
      <c r="B657" s="2"/>
    </row>
    <row r="658" spans="2:2" ht="12.75" x14ac:dyDescent="0.2">
      <c r="B658" s="2"/>
    </row>
    <row r="659" spans="2:2" ht="12.75" x14ac:dyDescent="0.2">
      <c r="B659" s="2"/>
    </row>
    <row r="660" spans="2:2" ht="12.75" x14ac:dyDescent="0.2">
      <c r="B660" s="2"/>
    </row>
    <row r="661" spans="2:2" ht="12.75" x14ac:dyDescent="0.2">
      <c r="B661" s="2"/>
    </row>
    <row r="662" spans="2:2" ht="12.75" x14ac:dyDescent="0.2">
      <c r="B662" s="2"/>
    </row>
    <row r="663" spans="2:2" ht="12.75" x14ac:dyDescent="0.2">
      <c r="B663" s="2"/>
    </row>
    <row r="664" spans="2:2" ht="12.75" x14ac:dyDescent="0.2">
      <c r="B664" s="2"/>
    </row>
    <row r="665" spans="2:2" ht="12.75" x14ac:dyDescent="0.2">
      <c r="B665" s="2"/>
    </row>
    <row r="666" spans="2:2" ht="12.75" x14ac:dyDescent="0.2">
      <c r="B666" s="2"/>
    </row>
    <row r="667" spans="2:2" ht="12.75" x14ac:dyDescent="0.2">
      <c r="B667" s="2"/>
    </row>
    <row r="668" spans="2:2" ht="12.75" x14ac:dyDescent="0.2">
      <c r="B668" s="2"/>
    </row>
    <row r="669" spans="2:2" ht="12.75" x14ac:dyDescent="0.2">
      <c r="B669" s="2"/>
    </row>
    <row r="670" spans="2:2" ht="12.75" x14ac:dyDescent="0.2">
      <c r="B670" s="2"/>
    </row>
    <row r="671" spans="2:2" ht="12.75" x14ac:dyDescent="0.2">
      <c r="B671" s="2"/>
    </row>
    <row r="672" spans="2:2" ht="12.75" x14ac:dyDescent="0.2">
      <c r="B672" s="2"/>
    </row>
    <row r="673" spans="2:2" ht="12.75" x14ac:dyDescent="0.2">
      <c r="B673" s="2"/>
    </row>
    <row r="674" spans="2:2" ht="12.75" x14ac:dyDescent="0.2">
      <c r="B674" s="2"/>
    </row>
    <row r="675" spans="2:2" ht="12.75" x14ac:dyDescent="0.2">
      <c r="B675" s="2"/>
    </row>
    <row r="676" spans="2:2" ht="12.75" x14ac:dyDescent="0.2">
      <c r="B676" s="2"/>
    </row>
    <row r="677" spans="2:2" ht="12.75" x14ac:dyDescent="0.2">
      <c r="B677" s="2"/>
    </row>
    <row r="678" spans="2:2" ht="12.75" x14ac:dyDescent="0.2">
      <c r="B678" s="2"/>
    </row>
    <row r="679" spans="2:2" ht="12.75" x14ac:dyDescent="0.2">
      <c r="B679" s="2"/>
    </row>
    <row r="680" spans="2:2" ht="12.75" x14ac:dyDescent="0.2">
      <c r="B680" s="2"/>
    </row>
    <row r="681" spans="2:2" ht="12.75" x14ac:dyDescent="0.2">
      <c r="B681" s="2"/>
    </row>
    <row r="682" spans="2:2" ht="12.75" x14ac:dyDescent="0.2">
      <c r="B682" s="2"/>
    </row>
    <row r="683" spans="2:2" ht="12.75" x14ac:dyDescent="0.2">
      <c r="B683" s="2"/>
    </row>
    <row r="684" spans="2:2" ht="12.75" x14ac:dyDescent="0.2">
      <c r="B684" s="2"/>
    </row>
    <row r="685" spans="2:2" ht="12.75" x14ac:dyDescent="0.2">
      <c r="B685" s="2"/>
    </row>
    <row r="686" spans="2:2" ht="12.75" x14ac:dyDescent="0.2">
      <c r="B686" s="2"/>
    </row>
    <row r="687" spans="2:2" ht="12.75" x14ac:dyDescent="0.2">
      <c r="B687" s="2"/>
    </row>
    <row r="688" spans="2:2" ht="12.75" x14ac:dyDescent="0.2">
      <c r="B688" s="2"/>
    </row>
    <row r="689" spans="2:2" ht="12.75" x14ac:dyDescent="0.2">
      <c r="B689" s="2"/>
    </row>
    <row r="690" spans="2:2" ht="12.75" x14ac:dyDescent="0.2">
      <c r="B690" s="2"/>
    </row>
    <row r="691" spans="2:2" ht="12.75" x14ac:dyDescent="0.2">
      <c r="B691" s="2"/>
    </row>
    <row r="692" spans="2:2" ht="12.75" x14ac:dyDescent="0.2">
      <c r="B692" s="2"/>
    </row>
    <row r="693" spans="2:2" ht="12.75" x14ac:dyDescent="0.2">
      <c r="B693" s="2"/>
    </row>
    <row r="694" spans="2:2" ht="12.75" x14ac:dyDescent="0.2">
      <c r="B694" s="2"/>
    </row>
    <row r="695" spans="2:2" ht="12.75" x14ac:dyDescent="0.2">
      <c r="B695" s="2"/>
    </row>
    <row r="696" spans="2:2" ht="12.75" x14ac:dyDescent="0.2">
      <c r="B696" s="2"/>
    </row>
    <row r="697" spans="2:2" ht="12.75" x14ac:dyDescent="0.2">
      <c r="B697" s="2"/>
    </row>
    <row r="698" spans="2:2" ht="12.75" x14ac:dyDescent="0.2">
      <c r="B698" s="2"/>
    </row>
    <row r="699" spans="2:2" ht="12.75" x14ac:dyDescent="0.2">
      <c r="B699" s="2"/>
    </row>
    <row r="700" spans="2:2" ht="12.75" x14ac:dyDescent="0.2">
      <c r="B700" s="2"/>
    </row>
    <row r="701" spans="2:2" ht="12.75" x14ac:dyDescent="0.2">
      <c r="B701" s="2"/>
    </row>
    <row r="702" spans="2:2" ht="12.75" x14ac:dyDescent="0.2">
      <c r="B702" s="2"/>
    </row>
    <row r="703" spans="2:2" ht="12.75" x14ac:dyDescent="0.2">
      <c r="B703" s="2"/>
    </row>
    <row r="704" spans="2:2" ht="12.75" x14ac:dyDescent="0.2">
      <c r="B704" s="2"/>
    </row>
    <row r="705" spans="2:2" ht="12.75" x14ac:dyDescent="0.2">
      <c r="B705" s="2"/>
    </row>
    <row r="706" spans="2:2" ht="12.75" x14ac:dyDescent="0.2">
      <c r="B706" s="2"/>
    </row>
    <row r="707" spans="2:2" ht="12.75" x14ac:dyDescent="0.2">
      <c r="B707" s="2"/>
    </row>
    <row r="708" spans="2:2" ht="12.75" x14ac:dyDescent="0.2">
      <c r="B708" s="2"/>
    </row>
    <row r="709" spans="2:2" ht="12.75" x14ac:dyDescent="0.2">
      <c r="B709" s="2"/>
    </row>
    <row r="710" spans="2:2" ht="12.75" x14ac:dyDescent="0.2">
      <c r="B710" s="2"/>
    </row>
    <row r="711" spans="2:2" ht="12.75" x14ac:dyDescent="0.2">
      <c r="B711" s="2"/>
    </row>
    <row r="712" spans="2:2" ht="12.75" x14ac:dyDescent="0.2">
      <c r="B712" s="2"/>
    </row>
    <row r="713" spans="2:2" ht="12.75" x14ac:dyDescent="0.2">
      <c r="B713" s="2"/>
    </row>
    <row r="714" spans="2:2" ht="12.75" x14ac:dyDescent="0.2">
      <c r="B714" s="2"/>
    </row>
    <row r="715" spans="2:2" ht="12.75" x14ac:dyDescent="0.2">
      <c r="B715" s="2"/>
    </row>
    <row r="716" spans="2:2" ht="12.75" x14ac:dyDescent="0.2">
      <c r="B716" s="2"/>
    </row>
    <row r="717" spans="2:2" ht="12.75" x14ac:dyDescent="0.2">
      <c r="B717" s="2"/>
    </row>
    <row r="718" spans="2:2" ht="12.75" x14ac:dyDescent="0.2">
      <c r="B718" s="2"/>
    </row>
    <row r="719" spans="2:2" ht="12.75" x14ac:dyDescent="0.2">
      <c r="B719" s="2"/>
    </row>
    <row r="720" spans="2:2" ht="12.75" x14ac:dyDescent="0.2">
      <c r="B720" s="2"/>
    </row>
    <row r="721" spans="2:2" ht="12.75" x14ac:dyDescent="0.2">
      <c r="B721" s="2"/>
    </row>
    <row r="722" spans="2:2" ht="12.75" x14ac:dyDescent="0.2">
      <c r="B722" s="2"/>
    </row>
    <row r="723" spans="2:2" ht="12.75" x14ac:dyDescent="0.2">
      <c r="B723" s="2"/>
    </row>
    <row r="724" spans="2:2" ht="12.75" x14ac:dyDescent="0.2">
      <c r="B724" s="2"/>
    </row>
    <row r="725" spans="2:2" ht="12.75" x14ac:dyDescent="0.2">
      <c r="B725" s="2"/>
    </row>
    <row r="726" spans="2:2" ht="12.75" x14ac:dyDescent="0.2">
      <c r="B726" s="2"/>
    </row>
    <row r="727" spans="2:2" ht="12.75" x14ac:dyDescent="0.2">
      <c r="B727" s="2"/>
    </row>
    <row r="728" spans="2:2" ht="12.75" x14ac:dyDescent="0.2">
      <c r="B728" s="2"/>
    </row>
    <row r="729" spans="2:2" ht="12.75" x14ac:dyDescent="0.2">
      <c r="B729" s="2"/>
    </row>
    <row r="730" spans="2:2" ht="12.75" x14ac:dyDescent="0.2">
      <c r="B730" s="2"/>
    </row>
    <row r="731" spans="2:2" ht="12.75" x14ac:dyDescent="0.2">
      <c r="B731" s="2"/>
    </row>
    <row r="732" spans="2:2" ht="12.75" x14ac:dyDescent="0.2">
      <c r="B732" s="2"/>
    </row>
    <row r="733" spans="2:2" ht="12.75" x14ac:dyDescent="0.2">
      <c r="B733" s="2"/>
    </row>
    <row r="734" spans="2:2" ht="12.75" x14ac:dyDescent="0.2">
      <c r="B734" s="2"/>
    </row>
    <row r="735" spans="2:2" ht="12.75" x14ac:dyDescent="0.2">
      <c r="B735" s="2"/>
    </row>
    <row r="736" spans="2:2" ht="12.75" x14ac:dyDescent="0.2">
      <c r="B736" s="2"/>
    </row>
    <row r="737" spans="2:2" ht="12.75" x14ac:dyDescent="0.2">
      <c r="B737" s="2"/>
    </row>
    <row r="738" spans="2:2" ht="12.75" x14ac:dyDescent="0.2">
      <c r="B738" s="2"/>
    </row>
    <row r="739" spans="2:2" ht="12.75" x14ac:dyDescent="0.2">
      <c r="B739" s="2"/>
    </row>
    <row r="740" spans="2:2" ht="12.75" x14ac:dyDescent="0.2">
      <c r="B740" s="2"/>
    </row>
    <row r="741" spans="2:2" ht="12.75" x14ac:dyDescent="0.2">
      <c r="B741" s="2"/>
    </row>
    <row r="742" spans="2:2" ht="12.75" x14ac:dyDescent="0.2">
      <c r="B742" s="2"/>
    </row>
    <row r="743" spans="2:2" ht="12.75" x14ac:dyDescent="0.2">
      <c r="B743" s="2"/>
    </row>
    <row r="744" spans="2:2" ht="12.75" x14ac:dyDescent="0.2">
      <c r="B744" s="2"/>
    </row>
    <row r="745" spans="2:2" ht="12.75" x14ac:dyDescent="0.2">
      <c r="B745" s="2"/>
    </row>
    <row r="746" spans="2:2" ht="12.75" x14ac:dyDescent="0.2">
      <c r="B746" s="2"/>
    </row>
    <row r="747" spans="2:2" ht="12.75" x14ac:dyDescent="0.2">
      <c r="B747" s="2"/>
    </row>
    <row r="748" spans="2:2" ht="12.75" x14ac:dyDescent="0.2">
      <c r="B748" s="2"/>
    </row>
    <row r="749" spans="2:2" ht="12.75" x14ac:dyDescent="0.2">
      <c r="B749" s="2"/>
    </row>
    <row r="750" spans="2:2" ht="12.75" x14ac:dyDescent="0.2">
      <c r="B750" s="2"/>
    </row>
    <row r="751" spans="2:2" ht="12.75" x14ac:dyDescent="0.2">
      <c r="B751" s="2"/>
    </row>
    <row r="752" spans="2:2" ht="12.75" x14ac:dyDescent="0.2">
      <c r="B752" s="2"/>
    </row>
    <row r="753" spans="2:2" ht="12.75" x14ac:dyDescent="0.2">
      <c r="B753" s="2"/>
    </row>
    <row r="754" spans="2:2" ht="12.75" x14ac:dyDescent="0.2">
      <c r="B754" s="2"/>
    </row>
    <row r="755" spans="2:2" ht="12.75" x14ac:dyDescent="0.2">
      <c r="B755" s="2"/>
    </row>
    <row r="756" spans="2:2" ht="12.75" x14ac:dyDescent="0.2">
      <c r="B756" s="2"/>
    </row>
    <row r="757" spans="2:2" ht="12.75" x14ac:dyDescent="0.2">
      <c r="B757" s="2"/>
    </row>
    <row r="758" spans="2:2" ht="12.75" x14ac:dyDescent="0.2">
      <c r="B758" s="2"/>
    </row>
    <row r="759" spans="2:2" ht="12.75" x14ac:dyDescent="0.2">
      <c r="B759" s="2"/>
    </row>
    <row r="760" spans="2:2" ht="12.75" x14ac:dyDescent="0.2">
      <c r="B760" s="2"/>
    </row>
    <row r="761" spans="2:2" ht="12.75" x14ac:dyDescent="0.2">
      <c r="B761" s="2"/>
    </row>
    <row r="762" spans="2:2" ht="12.75" x14ac:dyDescent="0.2">
      <c r="B762" s="2"/>
    </row>
    <row r="763" spans="2:2" ht="12.75" x14ac:dyDescent="0.2">
      <c r="B763" s="2"/>
    </row>
    <row r="764" spans="2:2" ht="12.75" x14ac:dyDescent="0.2">
      <c r="B764" s="2"/>
    </row>
    <row r="765" spans="2:2" ht="12.75" x14ac:dyDescent="0.2">
      <c r="B765" s="2"/>
    </row>
    <row r="766" spans="2:2" ht="12.75" x14ac:dyDescent="0.2">
      <c r="B766" s="2"/>
    </row>
    <row r="767" spans="2:2" ht="12.75" x14ac:dyDescent="0.2">
      <c r="B767" s="2"/>
    </row>
    <row r="768" spans="2:2" ht="12.75" x14ac:dyDescent="0.2">
      <c r="B768" s="2"/>
    </row>
    <row r="769" spans="2:2" ht="12.75" x14ac:dyDescent="0.2">
      <c r="B769" s="2"/>
    </row>
    <row r="770" spans="2:2" ht="12.75" x14ac:dyDescent="0.2">
      <c r="B770" s="2"/>
    </row>
    <row r="771" spans="2:2" ht="12.75" x14ac:dyDescent="0.2">
      <c r="B771" s="2"/>
    </row>
    <row r="772" spans="2:2" ht="12.75" x14ac:dyDescent="0.2">
      <c r="B772" s="2"/>
    </row>
    <row r="773" spans="2:2" ht="12.75" x14ac:dyDescent="0.2">
      <c r="B773" s="2"/>
    </row>
    <row r="774" spans="2:2" ht="12.75" x14ac:dyDescent="0.2">
      <c r="B774" s="2"/>
    </row>
    <row r="775" spans="2:2" ht="12.75" x14ac:dyDescent="0.2">
      <c r="B775" s="2"/>
    </row>
    <row r="776" spans="2:2" ht="12.75" x14ac:dyDescent="0.2">
      <c r="B776" s="2"/>
    </row>
    <row r="777" spans="2:2" ht="12.75" x14ac:dyDescent="0.2">
      <c r="B777" s="2"/>
    </row>
    <row r="778" spans="2:2" ht="12.75" x14ac:dyDescent="0.2">
      <c r="B778" s="2"/>
    </row>
    <row r="779" spans="2:2" ht="12.75" x14ac:dyDescent="0.2">
      <c r="B779" s="2"/>
    </row>
    <row r="780" spans="2:2" ht="12.75" x14ac:dyDescent="0.2">
      <c r="B780" s="2"/>
    </row>
    <row r="781" spans="2:2" ht="12.75" x14ac:dyDescent="0.2">
      <c r="B781" s="2"/>
    </row>
    <row r="782" spans="2:2" ht="12.75" x14ac:dyDescent="0.2">
      <c r="B782" s="2"/>
    </row>
    <row r="783" spans="2:2" ht="12.75" x14ac:dyDescent="0.2">
      <c r="B783" s="2"/>
    </row>
    <row r="784" spans="2:2" ht="12.75" x14ac:dyDescent="0.2">
      <c r="B784" s="2"/>
    </row>
    <row r="785" spans="2:2" ht="12.75" x14ac:dyDescent="0.2">
      <c r="B785" s="2"/>
    </row>
    <row r="786" spans="2:2" ht="12.75" x14ac:dyDescent="0.2">
      <c r="B786" s="2"/>
    </row>
    <row r="787" spans="2:2" ht="12.75" x14ac:dyDescent="0.2">
      <c r="B787" s="2"/>
    </row>
    <row r="788" spans="2:2" ht="12.75" x14ac:dyDescent="0.2">
      <c r="B788" s="2"/>
    </row>
    <row r="789" spans="2:2" ht="12.75" x14ac:dyDescent="0.2">
      <c r="B789" s="2"/>
    </row>
    <row r="790" spans="2:2" ht="12.75" x14ac:dyDescent="0.2">
      <c r="B790" s="2"/>
    </row>
    <row r="791" spans="2:2" ht="12.75" x14ac:dyDescent="0.2">
      <c r="B791" s="2"/>
    </row>
    <row r="792" spans="2:2" ht="12.75" x14ac:dyDescent="0.2">
      <c r="B792" s="2"/>
    </row>
    <row r="793" spans="2:2" ht="12.75" x14ac:dyDescent="0.2">
      <c r="B793" s="2"/>
    </row>
    <row r="794" spans="2:2" ht="12.75" x14ac:dyDescent="0.2">
      <c r="B794" s="2"/>
    </row>
    <row r="795" spans="2:2" ht="12.75" x14ac:dyDescent="0.2">
      <c r="B795" s="2"/>
    </row>
    <row r="796" spans="2:2" ht="12.75" x14ac:dyDescent="0.2">
      <c r="B796" s="2"/>
    </row>
    <row r="797" spans="2:2" ht="12.75" x14ac:dyDescent="0.2">
      <c r="B797" s="2"/>
    </row>
    <row r="798" spans="2:2" ht="12.75" x14ac:dyDescent="0.2">
      <c r="B798" s="2"/>
    </row>
    <row r="799" spans="2:2" ht="12.75" x14ac:dyDescent="0.2">
      <c r="B799" s="2"/>
    </row>
    <row r="800" spans="2:2" ht="12.75" x14ac:dyDescent="0.2">
      <c r="B800" s="2"/>
    </row>
    <row r="801" spans="2:2" ht="12.75" x14ac:dyDescent="0.2">
      <c r="B801" s="2"/>
    </row>
    <row r="802" spans="2:2" ht="12.75" x14ac:dyDescent="0.2">
      <c r="B802" s="2"/>
    </row>
    <row r="803" spans="2:2" ht="12.75" x14ac:dyDescent="0.2">
      <c r="B803" s="2"/>
    </row>
    <row r="804" spans="2:2" ht="12.75" x14ac:dyDescent="0.2">
      <c r="B804" s="2"/>
    </row>
    <row r="805" spans="2:2" ht="12.75" x14ac:dyDescent="0.2">
      <c r="B805" s="2"/>
    </row>
    <row r="806" spans="2:2" ht="12.75" x14ac:dyDescent="0.2">
      <c r="B806" s="2"/>
    </row>
    <row r="807" spans="2:2" ht="12.75" x14ac:dyDescent="0.2">
      <c r="B807" s="2"/>
    </row>
    <row r="808" spans="2:2" ht="12.75" x14ac:dyDescent="0.2">
      <c r="B808" s="2"/>
    </row>
    <row r="809" spans="2:2" ht="12.75" x14ac:dyDescent="0.2">
      <c r="B809" s="2"/>
    </row>
    <row r="810" spans="2:2" ht="12.75" x14ac:dyDescent="0.2">
      <c r="B810" s="2"/>
    </row>
    <row r="811" spans="2:2" ht="12.75" x14ac:dyDescent="0.2">
      <c r="B811" s="2"/>
    </row>
    <row r="812" spans="2:2" ht="12.75" x14ac:dyDescent="0.2">
      <c r="B812" s="2"/>
    </row>
    <row r="813" spans="2:2" ht="12.75" x14ac:dyDescent="0.2">
      <c r="B813" s="2"/>
    </row>
    <row r="814" spans="2:2" ht="12.75" x14ac:dyDescent="0.2">
      <c r="B814" s="2"/>
    </row>
    <row r="815" spans="2:2" ht="12.75" x14ac:dyDescent="0.2">
      <c r="B815" s="2"/>
    </row>
    <row r="816" spans="2:2" ht="12.75" x14ac:dyDescent="0.2">
      <c r="B816" s="2"/>
    </row>
    <row r="817" spans="2:2" ht="12.75" x14ac:dyDescent="0.2">
      <c r="B817" s="2"/>
    </row>
    <row r="818" spans="2:2" ht="12.75" x14ac:dyDescent="0.2">
      <c r="B818" s="2"/>
    </row>
    <row r="819" spans="2:2" ht="12.75" x14ac:dyDescent="0.2">
      <c r="B819" s="2"/>
    </row>
    <row r="820" spans="2:2" ht="12.75" x14ac:dyDescent="0.2">
      <c r="B820" s="2"/>
    </row>
    <row r="821" spans="2:2" ht="12.75" x14ac:dyDescent="0.2">
      <c r="B821" s="2"/>
    </row>
    <row r="822" spans="2:2" ht="12.75" x14ac:dyDescent="0.2">
      <c r="B822" s="2"/>
    </row>
    <row r="823" spans="2:2" ht="12.75" x14ac:dyDescent="0.2">
      <c r="B823" s="2"/>
    </row>
    <row r="824" spans="2:2" ht="12.75" x14ac:dyDescent="0.2">
      <c r="B824" s="2"/>
    </row>
    <row r="825" spans="2:2" ht="12.75" x14ac:dyDescent="0.2">
      <c r="B825" s="2"/>
    </row>
    <row r="826" spans="2:2" ht="12.75" x14ac:dyDescent="0.2">
      <c r="B826" s="2"/>
    </row>
    <row r="827" spans="2:2" ht="12.75" x14ac:dyDescent="0.2">
      <c r="B827" s="2"/>
    </row>
    <row r="828" spans="2:2" ht="12.75" x14ac:dyDescent="0.2">
      <c r="B828" s="2"/>
    </row>
    <row r="829" spans="2:2" ht="12.75" x14ac:dyDescent="0.2">
      <c r="B829" s="2"/>
    </row>
    <row r="830" spans="2:2" ht="12.75" x14ac:dyDescent="0.2">
      <c r="B830" s="2"/>
    </row>
    <row r="831" spans="2:2" ht="12.75" x14ac:dyDescent="0.2">
      <c r="B831" s="2"/>
    </row>
    <row r="832" spans="2:2" ht="12.75" x14ac:dyDescent="0.2">
      <c r="B832" s="2"/>
    </row>
    <row r="833" spans="2:2" ht="12.75" x14ac:dyDescent="0.2">
      <c r="B833" s="2"/>
    </row>
    <row r="834" spans="2:2" ht="12.75" x14ac:dyDescent="0.2">
      <c r="B834" s="2"/>
    </row>
    <row r="835" spans="2:2" ht="12.75" x14ac:dyDescent="0.2">
      <c r="B835" s="2"/>
    </row>
    <row r="836" spans="2:2" ht="12.75" x14ac:dyDescent="0.2">
      <c r="B836" s="2"/>
    </row>
    <row r="837" spans="2:2" ht="12.75" x14ac:dyDescent="0.2">
      <c r="B837" s="2"/>
    </row>
    <row r="838" spans="2:2" ht="12.75" x14ac:dyDescent="0.2">
      <c r="B838" s="2"/>
    </row>
    <row r="839" spans="2:2" ht="12.75" x14ac:dyDescent="0.2">
      <c r="B839" s="2"/>
    </row>
    <row r="840" spans="2:2" ht="12.75" x14ac:dyDescent="0.2">
      <c r="B840" s="2"/>
    </row>
    <row r="841" spans="2:2" ht="12.75" x14ac:dyDescent="0.2">
      <c r="B841" s="2"/>
    </row>
    <row r="842" spans="2:2" ht="12.75" x14ac:dyDescent="0.2">
      <c r="B842" s="2"/>
    </row>
    <row r="843" spans="2:2" ht="12.75" x14ac:dyDescent="0.2">
      <c r="B843" s="2"/>
    </row>
    <row r="844" spans="2:2" ht="12.75" x14ac:dyDescent="0.2">
      <c r="B844" s="2"/>
    </row>
    <row r="845" spans="2:2" ht="12.75" x14ac:dyDescent="0.2">
      <c r="B845" s="2"/>
    </row>
    <row r="846" spans="2:2" ht="12.75" x14ac:dyDescent="0.2">
      <c r="B846" s="2"/>
    </row>
    <row r="847" spans="2:2" ht="12.75" x14ac:dyDescent="0.2">
      <c r="B847" s="2"/>
    </row>
    <row r="848" spans="2:2" ht="12.75" x14ac:dyDescent="0.2">
      <c r="B848" s="2"/>
    </row>
    <row r="849" spans="2:2" ht="12.75" x14ac:dyDescent="0.2">
      <c r="B849" s="2"/>
    </row>
    <row r="850" spans="2:2" ht="12.75" x14ac:dyDescent="0.2">
      <c r="B850" s="2"/>
    </row>
    <row r="851" spans="2:2" ht="12.75" x14ac:dyDescent="0.2">
      <c r="B851" s="2"/>
    </row>
    <row r="852" spans="2:2" ht="12.75" x14ac:dyDescent="0.2">
      <c r="B852" s="2"/>
    </row>
    <row r="853" spans="2:2" ht="12.75" x14ac:dyDescent="0.2">
      <c r="B853" s="2"/>
    </row>
    <row r="854" spans="2:2" ht="12.75" x14ac:dyDescent="0.2">
      <c r="B854" s="2"/>
    </row>
    <row r="855" spans="2:2" ht="12.75" x14ac:dyDescent="0.2">
      <c r="B855" s="2"/>
    </row>
    <row r="856" spans="2:2" ht="12.75" x14ac:dyDescent="0.2">
      <c r="B856" s="2"/>
    </row>
    <row r="857" spans="2:2" ht="12.75" x14ac:dyDescent="0.2">
      <c r="B857" s="2"/>
    </row>
    <row r="858" spans="2:2" ht="12.75" x14ac:dyDescent="0.2">
      <c r="B858" s="2"/>
    </row>
    <row r="859" spans="2:2" ht="12.75" x14ac:dyDescent="0.2">
      <c r="B859" s="2"/>
    </row>
    <row r="860" spans="2:2" ht="12.75" x14ac:dyDescent="0.2">
      <c r="B860" s="2"/>
    </row>
    <row r="861" spans="2:2" ht="12.75" x14ac:dyDescent="0.2">
      <c r="B861" s="2"/>
    </row>
    <row r="862" spans="2:2" ht="12.75" x14ac:dyDescent="0.2">
      <c r="B862" s="2"/>
    </row>
    <row r="863" spans="2:2" ht="12.75" x14ac:dyDescent="0.2">
      <c r="B863" s="2"/>
    </row>
    <row r="864" spans="2:2" ht="12.75" x14ac:dyDescent="0.2">
      <c r="B864" s="2"/>
    </row>
    <row r="865" spans="2:2" ht="12.75" x14ac:dyDescent="0.2">
      <c r="B865" s="2"/>
    </row>
    <row r="866" spans="2:2" ht="12.75" x14ac:dyDescent="0.2">
      <c r="B866" s="2"/>
    </row>
    <row r="867" spans="2:2" ht="12.75" x14ac:dyDescent="0.2">
      <c r="B867" s="2"/>
    </row>
    <row r="868" spans="2:2" ht="12.75" x14ac:dyDescent="0.2">
      <c r="B868" s="2"/>
    </row>
    <row r="869" spans="2:2" ht="12.75" x14ac:dyDescent="0.2">
      <c r="B869" s="2"/>
    </row>
    <row r="870" spans="2:2" ht="12.75" x14ac:dyDescent="0.2">
      <c r="B870" s="2"/>
    </row>
    <row r="871" spans="2:2" ht="12.75" x14ac:dyDescent="0.2">
      <c r="B871" s="2"/>
    </row>
    <row r="872" spans="2:2" ht="12.75" x14ac:dyDescent="0.2">
      <c r="B872" s="2"/>
    </row>
    <row r="873" spans="2:2" ht="12.75" x14ac:dyDescent="0.2">
      <c r="B873" s="2"/>
    </row>
    <row r="874" spans="2:2" ht="12.75" x14ac:dyDescent="0.2">
      <c r="B874" s="2"/>
    </row>
    <row r="875" spans="2:2" ht="12.75" x14ac:dyDescent="0.2">
      <c r="B875" s="2"/>
    </row>
    <row r="876" spans="2:2" ht="12.75" x14ac:dyDescent="0.2">
      <c r="B876" s="2"/>
    </row>
    <row r="877" spans="2:2" ht="12.75" x14ac:dyDescent="0.2">
      <c r="B877" s="2"/>
    </row>
    <row r="878" spans="2:2" ht="12.75" x14ac:dyDescent="0.2">
      <c r="B878" s="2"/>
    </row>
    <row r="879" spans="2:2" ht="12.75" x14ac:dyDescent="0.2">
      <c r="B879" s="2"/>
    </row>
    <row r="880" spans="2:2" ht="12.75" x14ac:dyDescent="0.2">
      <c r="B880" s="2"/>
    </row>
    <row r="881" spans="2:2" ht="12.75" x14ac:dyDescent="0.2">
      <c r="B881" s="2"/>
    </row>
    <row r="882" spans="2:2" ht="12.75" x14ac:dyDescent="0.2">
      <c r="B882" s="2"/>
    </row>
    <row r="883" spans="2:2" ht="12.75" x14ac:dyDescent="0.2">
      <c r="B883" s="2"/>
    </row>
    <row r="884" spans="2:2" ht="12.75" x14ac:dyDescent="0.2">
      <c r="B884" s="2"/>
    </row>
    <row r="885" spans="2:2" ht="12.75" x14ac:dyDescent="0.2">
      <c r="B885" s="2"/>
    </row>
    <row r="886" spans="2:2" ht="12.75" x14ac:dyDescent="0.2">
      <c r="B886" s="2"/>
    </row>
    <row r="887" spans="2:2" ht="12.75" x14ac:dyDescent="0.2">
      <c r="B887" s="2"/>
    </row>
    <row r="888" spans="2:2" ht="12.75" x14ac:dyDescent="0.2">
      <c r="B888" s="2"/>
    </row>
    <row r="889" spans="2:2" ht="12.75" x14ac:dyDescent="0.2">
      <c r="B889" s="2"/>
    </row>
    <row r="890" spans="2:2" ht="12.75" x14ac:dyDescent="0.2">
      <c r="B890" s="2"/>
    </row>
    <row r="891" spans="2:2" ht="12.75" x14ac:dyDescent="0.2">
      <c r="B891" s="2"/>
    </row>
    <row r="892" spans="2:2" ht="12.75" x14ac:dyDescent="0.2">
      <c r="B892" s="2"/>
    </row>
    <row r="893" spans="2:2" ht="12.75" x14ac:dyDescent="0.2">
      <c r="B893" s="2"/>
    </row>
    <row r="894" spans="2:2" ht="12.75" x14ac:dyDescent="0.2">
      <c r="B894" s="2"/>
    </row>
    <row r="895" spans="2:2" ht="12.75" x14ac:dyDescent="0.2">
      <c r="B895" s="2"/>
    </row>
    <row r="896" spans="2:2" ht="12.75" x14ac:dyDescent="0.2">
      <c r="B896" s="2"/>
    </row>
    <row r="897" spans="2:2" ht="12.75" x14ac:dyDescent="0.2">
      <c r="B897" s="2"/>
    </row>
    <row r="898" spans="2:2" ht="12.75" x14ac:dyDescent="0.2">
      <c r="B898" s="2"/>
    </row>
    <row r="899" spans="2:2" ht="12.75" x14ac:dyDescent="0.2">
      <c r="B899" s="2"/>
    </row>
    <row r="900" spans="2:2" ht="12.75" x14ac:dyDescent="0.2">
      <c r="B900" s="2"/>
    </row>
    <row r="901" spans="2:2" ht="12.75" x14ac:dyDescent="0.2">
      <c r="B901" s="2"/>
    </row>
    <row r="902" spans="2:2" ht="12.75" x14ac:dyDescent="0.2">
      <c r="B902" s="2"/>
    </row>
    <row r="903" spans="2:2" ht="12.75" x14ac:dyDescent="0.2">
      <c r="B903" s="2"/>
    </row>
    <row r="904" spans="2:2" ht="12.75" x14ac:dyDescent="0.2">
      <c r="B904" s="2"/>
    </row>
    <row r="905" spans="2:2" ht="12.75" x14ac:dyDescent="0.2">
      <c r="B905" s="2"/>
    </row>
    <row r="906" spans="2:2" ht="12.75" x14ac:dyDescent="0.2">
      <c r="B906" s="2"/>
    </row>
    <row r="907" spans="2:2" ht="12.75" x14ac:dyDescent="0.2">
      <c r="B907" s="2"/>
    </row>
    <row r="908" spans="2:2" ht="12.75" x14ac:dyDescent="0.2">
      <c r="B908" s="2"/>
    </row>
    <row r="909" spans="2:2" ht="12.75" x14ac:dyDescent="0.2">
      <c r="B909" s="2"/>
    </row>
    <row r="910" spans="2:2" ht="12.75" x14ac:dyDescent="0.2">
      <c r="B910" s="2"/>
    </row>
    <row r="911" spans="2:2" ht="12.75" x14ac:dyDescent="0.2">
      <c r="B911" s="2"/>
    </row>
    <row r="912" spans="2:2" ht="12.75" x14ac:dyDescent="0.2">
      <c r="B912" s="2"/>
    </row>
    <row r="913" spans="2:2" ht="12.75" x14ac:dyDescent="0.2">
      <c r="B913" s="2"/>
    </row>
    <row r="914" spans="2:2" ht="12.75" x14ac:dyDescent="0.2">
      <c r="B914" s="2"/>
    </row>
    <row r="915" spans="2:2" ht="12.75" x14ac:dyDescent="0.2">
      <c r="B915" s="2"/>
    </row>
    <row r="916" spans="2:2" ht="12.75" x14ac:dyDescent="0.2">
      <c r="B916" s="2"/>
    </row>
    <row r="917" spans="2:2" ht="12.75" x14ac:dyDescent="0.2">
      <c r="B917" s="2"/>
    </row>
    <row r="918" spans="2:2" ht="12.75" x14ac:dyDescent="0.2">
      <c r="B918" s="2"/>
    </row>
    <row r="919" spans="2:2" ht="12.75" x14ac:dyDescent="0.2">
      <c r="B919" s="2"/>
    </row>
    <row r="920" spans="2:2" ht="12.75" x14ac:dyDescent="0.2">
      <c r="B920" s="2"/>
    </row>
    <row r="921" spans="2:2" ht="12.75" x14ac:dyDescent="0.2">
      <c r="B921" s="2"/>
    </row>
    <row r="922" spans="2:2" ht="12.75" x14ac:dyDescent="0.2">
      <c r="B922" s="2"/>
    </row>
    <row r="923" spans="2:2" ht="12.75" x14ac:dyDescent="0.2">
      <c r="B923" s="2"/>
    </row>
    <row r="924" spans="2:2" ht="12.75" x14ac:dyDescent="0.2">
      <c r="B924" s="2"/>
    </row>
    <row r="925" spans="2:2" ht="12.75" x14ac:dyDescent="0.2">
      <c r="B925" s="2"/>
    </row>
    <row r="926" spans="2:2" ht="12.75" x14ac:dyDescent="0.2">
      <c r="B926" s="2"/>
    </row>
    <row r="927" spans="2:2" ht="12.75" x14ac:dyDescent="0.2">
      <c r="B927" s="2"/>
    </row>
    <row r="928" spans="2:2" ht="12.75" x14ac:dyDescent="0.2">
      <c r="B928" s="2"/>
    </row>
    <row r="929" spans="2:2" ht="12.75" x14ac:dyDescent="0.2">
      <c r="B929" s="2"/>
    </row>
    <row r="930" spans="2:2" ht="12.75" x14ac:dyDescent="0.2">
      <c r="B930" s="2"/>
    </row>
    <row r="931" spans="2:2" ht="12.75" x14ac:dyDescent="0.2">
      <c r="B931" s="2"/>
    </row>
    <row r="932" spans="2:2" ht="12.75" x14ac:dyDescent="0.2">
      <c r="B932" s="2"/>
    </row>
    <row r="933" spans="2:2" ht="12.75" x14ac:dyDescent="0.2">
      <c r="B933" s="2"/>
    </row>
    <row r="934" spans="2:2" ht="12.75" x14ac:dyDescent="0.2">
      <c r="B934" s="2"/>
    </row>
    <row r="935" spans="2:2" ht="12.75" x14ac:dyDescent="0.2">
      <c r="B935" s="2"/>
    </row>
    <row r="936" spans="2:2" ht="12.75" x14ac:dyDescent="0.2">
      <c r="B936" s="2"/>
    </row>
    <row r="937" spans="2:2" ht="12.75" x14ac:dyDescent="0.2">
      <c r="B937" s="2"/>
    </row>
    <row r="938" spans="2:2" ht="12.75" x14ac:dyDescent="0.2">
      <c r="B938" s="2"/>
    </row>
    <row r="939" spans="2:2" ht="12.75" x14ac:dyDescent="0.2">
      <c r="B939" s="2"/>
    </row>
    <row r="940" spans="2:2" ht="12.75" x14ac:dyDescent="0.2">
      <c r="B940" s="2"/>
    </row>
    <row r="941" spans="2:2" ht="12.75" x14ac:dyDescent="0.2">
      <c r="B941" s="2"/>
    </row>
    <row r="942" spans="2:2" ht="12.75" x14ac:dyDescent="0.2">
      <c r="B942" s="2"/>
    </row>
    <row r="943" spans="2:2" ht="12.75" x14ac:dyDescent="0.2">
      <c r="B943" s="2"/>
    </row>
    <row r="944" spans="2:2" ht="12.75" x14ac:dyDescent="0.2">
      <c r="B944" s="2"/>
    </row>
    <row r="945" spans="2:2" ht="12.75" x14ac:dyDescent="0.2">
      <c r="B945" s="2"/>
    </row>
    <row r="946" spans="2:2" ht="12.75" x14ac:dyDescent="0.2">
      <c r="B946" s="2"/>
    </row>
    <row r="947" spans="2:2" ht="12.75" x14ac:dyDescent="0.2">
      <c r="B947" s="2"/>
    </row>
    <row r="948" spans="2:2" ht="12.75" x14ac:dyDescent="0.2">
      <c r="B948" s="2"/>
    </row>
    <row r="949" spans="2:2" ht="12.75" x14ac:dyDescent="0.2">
      <c r="B949" s="2"/>
    </row>
    <row r="950" spans="2:2" ht="12.75" x14ac:dyDescent="0.2">
      <c r="B950" s="2"/>
    </row>
    <row r="951" spans="2:2" ht="12.75" x14ac:dyDescent="0.2">
      <c r="B951" s="2"/>
    </row>
    <row r="952" spans="2:2" ht="12.75" x14ac:dyDescent="0.2">
      <c r="B952" s="2"/>
    </row>
    <row r="953" spans="2:2" ht="12.75" x14ac:dyDescent="0.2">
      <c r="B953" s="2"/>
    </row>
    <row r="954" spans="2:2" ht="12.75" x14ac:dyDescent="0.2">
      <c r="B954" s="2"/>
    </row>
    <row r="955" spans="2:2" ht="12.75" x14ac:dyDescent="0.2">
      <c r="B955" s="2"/>
    </row>
    <row r="956" spans="2:2" ht="12.75" x14ac:dyDescent="0.2">
      <c r="B956" s="2"/>
    </row>
    <row r="957" spans="2:2" ht="12.75" x14ac:dyDescent="0.2">
      <c r="B957" s="2"/>
    </row>
    <row r="958" spans="2:2" ht="12.75" x14ac:dyDescent="0.2">
      <c r="B958" s="2"/>
    </row>
    <row r="959" spans="2:2" ht="12.75" x14ac:dyDescent="0.2">
      <c r="B959" s="2"/>
    </row>
    <row r="960" spans="2:2" ht="12.75" x14ac:dyDescent="0.2">
      <c r="B960" s="2"/>
    </row>
    <row r="961" spans="2:2" ht="12.75" x14ac:dyDescent="0.2">
      <c r="B961" s="2"/>
    </row>
    <row r="962" spans="2:2" ht="12.75" x14ac:dyDescent="0.2">
      <c r="B962" s="2"/>
    </row>
    <row r="963" spans="2:2" ht="12.75" x14ac:dyDescent="0.2">
      <c r="B963" s="2"/>
    </row>
    <row r="964" spans="2:2" ht="12.75" x14ac:dyDescent="0.2">
      <c r="B964" s="2"/>
    </row>
    <row r="965" spans="2:2" ht="12.75" x14ac:dyDescent="0.2">
      <c r="B965" s="2"/>
    </row>
    <row r="966" spans="2:2" ht="12.75" x14ac:dyDescent="0.2">
      <c r="B966" s="2"/>
    </row>
    <row r="967" spans="2:2" ht="12.75" x14ac:dyDescent="0.2">
      <c r="B967" s="2"/>
    </row>
    <row r="968" spans="2:2" ht="12.75" x14ac:dyDescent="0.2">
      <c r="B968" s="2"/>
    </row>
    <row r="969" spans="2:2" ht="12.75" x14ac:dyDescent="0.2">
      <c r="B969" s="2"/>
    </row>
    <row r="970" spans="2:2" ht="12.75" x14ac:dyDescent="0.2">
      <c r="B970" s="2"/>
    </row>
    <row r="971" spans="2:2" ht="12.75" x14ac:dyDescent="0.2">
      <c r="B971" s="2"/>
    </row>
    <row r="972" spans="2:2" ht="12.75" x14ac:dyDescent="0.2">
      <c r="B972" s="2"/>
    </row>
    <row r="973" spans="2:2" ht="12.75" x14ac:dyDescent="0.2">
      <c r="B973" s="2"/>
    </row>
    <row r="974" spans="2:2" ht="12.75" x14ac:dyDescent="0.2">
      <c r="B974" s="2"/>
    </row>
    <row r="975" spans="2:2" ht="12.75" x14ac:dyDescent="0.2">
      <c r="B975" s="2"/>
    </row>
    <row r="976" spans="2:2" ht="12.75" x14ac:dyDescent="0.2">
      <c r="B976" s="2"/>
    </row>
    <row r="977" spans="2:2" ht="12.75" x14ac:dyDescent="0.2">
      <c r="B977" s="2"/>
    </row>
    <row r="978" spans="2:2" ht="12.75" x14ac:dyDescent="0.2">
      <c r="B978" s="2"/>
    </row>
    <row r="979" spans="2:2" ht="12.75" x14ac:dyDescent="0.2">
      <c r="B979" s="2"/>
    </row>
    <row r="980" spans="2:2" ht="12.75" x14ac:dyDescent="0.2">
      <c r="B980" s="2"/>
    </row>
    <row r="981" spans="2:2" ht="12.75" x14ac:dyDescent="0.2">
      <c r="B981" s="2"/>
    </row>
    <row r="982" spans="2:2" ht="12.75" x14ac:dyDescent="0.2">
      <c r="B982" s="2"/>
    </row>
    <row r="983" spans="2:2" ht="12.75" x14ac:dyDescent="0.2">
      <c r="B983" s="2"/>
    </row>
    <row r="984" spans="2:2" ht="12.75" x14ac:dyDescent="0.2">
      <c r="B984" s="2"/>
    </row>
    <row r="985" spans="2:2" ht="12.75" x14ac:dyDescent="0.2">
      <c r="B985" s="2"/>
    </row>
    <row r="986" spans="2:2" ht="12.75" x14ac:dyDescent="0.2">
      <c r="B986" s="2"/>
    </row>
    <row r="987" spans="2:2" ht="12.75" x14ac:dyDescent="0.2">
      <c r="B987" s="2"/>
    </row>
    <row r="988" spans="2:2" ht="12.75" x14ac:dyDescent="0.2">
      <c r="B988" s="2"/>
    </row>
    <row r="989" spans="2:2" ht="12.75" x14ac:dyDescent="0.2">
      <c r="B989" s="2"/>
    </row>
    <row r="990" spans="2:2" ht="12.75" x14ac:dyDescent="0.2">
      <c r="B990" s="2"/>
    </row>
    <row r="991" spans="2:2" ht="12.75" x14ac:dyDescent="0.2">
      <c r="B991" s="2"/>
    </row>
    <row r="992" spans="2:2" ht="12.75" x14ac:dyDescent="0.2">
      <c r="B992" s="2"/>
    </row>
    <row r="993" spans="2:2" ht="12.75" x14ac:dyDescent="0.2">
      <c r="B993" s="2"/>
    </row>
    <row r="994" spans="2:2" ht="12.75" x14ac:dyDescent="0.2">
      <c r="B994" s="2"/>
    </row>
    <row r="995" spans="2:2" ht="12.75" x14ac:dyDescent="0.2">
      <c r="B995" s="2"/>
    </row>
    <row r="996" spans="2:2" ht="12.75" x14ac:dyDescent="0.2">
      <c r="B996" s="2"/>
    </row>
    <row r="997" spans="2:2" ht="12.75" x14ac:dyDescent="0.2">
      <c r="B997" s="2"/>
    </row>
    <row r="998" spans="2:2" ht="12.75" x14ac:dyDescent="0.2">
      <c r="B998" s="2"/>
    </row>
    <row r="999" spans="2:2" ht="12.75" x14ac:dyDescent="0.2">
      <c r="B999" s="2"/>
    </row>
    <row r="1000" spans="2:2" ht="12.75" x14ac:dyDescent="0.2">
      <c r="B1000" s="2"/>
    </row>
    <row r="1001" spans="2:2" ht="12.75" x14ac:dyDescent="0.2">
      <c r="B1001" s="2"/>
    </row>
    <row r="1002" spans="2:2" ht="12.75" x14ac:dyDescent="0.2">
      <c r="B1002" s="2"/>
    </row>
    <row r="1003" spans="2:2" ht="12.75" x14ac:dyDescent="0.2">
      <c r="B1003" s="2"/>
    </row>
    <row r="1004" spans="2:2" ht="12.75" x14ac:dyDescent="0.2">
      <c r="B1004" s="2"/>
    </row>
    <row r="1005" spans="2:2" ht="12.75" x14ac:dyDescent="0.2">
      <c r="B1005" s="2"/>
    </row>
    <row r="1006" spans="2:2" ht="12.75" x14ac:dyDescent="0.2">
      <c r="B1006" s="2"/>
    </row>
    <row r="1007" spans="2:2" ht="12.75" x14ac:dyDescent="0.2">
      <c r="B1007" s="2"/>
    </row>
    <row r="1008" spans="2:2" ht="12.75" x14ac:dyDescent="0.2">
      <c r="B1008" s="2"/>
    </row>
    <row r="1009" spans="2:2" ht="12.75" x14ac:dyDescent="0.2">
      <c r="B1009" s="2"/>
    </row>
    <row r="1010" spans="2:2" ht="12.75" x14ac:dyDescent="0.2">
      <c r="B1010" s="2"/>
    </row>
    <row r="1011" spans="2:2" ht="12.75" x14ac:dyDescent="0.2">
      <c r="B1011" s="2"/>
    </row>
  </sheetData>
  <mergeCells count="34">
    <mergeCell ref="B2:E2"/>
    <mergeCell ref="B16:D16"/>
    <mergeCell ref="B18:D18"/>
    <mergeCell ref="B19:D19"/>
    <mergeCell ref="B20:D20"/>
    <mergeCell ref="B10:D10"/>
    <mergeCell ref="B11:D11"/>
    <mergeCell ref="B12:D12"/>
    <mergeCell ref="B13:D13"/>
    <mergeCell ref="B14:D14"/>
    <mergeCell ref="B21:D21"/>
    <mergeCell ref="B22:D22"/>
    <mergeCell ref="B23:D23"/>
    <mergeCell ref="B24:D24"/>
    <mergeCell ref="B25:D25"/>
    <mergeCell ref="B26:D26"/>
    <mergeCell ref="B29:D29"/>
    <mergeCell ref="B30:D30"/>
    <mergeCell ref="B31:D31"/>
    <mergeCell ref="B32:D32"/>
    <mergeCell ref="B33:D33"/>
    <mergeCell ref="B44:D44"/>
    <mergeCell ref="B45:D45"/>
    <mergeCell ref="B46:D46"/>
    <mergeCell ref="B47:D47"/>
    <mergeCell ref="B51:D51"/>
    <mergeCell ref="B52:D52"/>
    <mergeCell ref="B35:D35"/>
    <mergeCell ref="B36:D36"/>
    <mergeCell ref="B37:D37"/>
    <mergeCell ref="B39:D39"/>
    <mergeCell ref="B41:D41"/>
    <mergeCell ref="B42:D42"/>
    <mergeCell ref="B43:D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3"/>
  <sheetViews>
    <sheetView workbookViewId="0"/>
  </sheetViews>
  <sheetFormatPr baseColWidth="10" defaultColWidth="12.5703125" defaultRowHeight="15.75" customHeight="1" x14ac:dyDescent="0.2"/>
  <cols>
    <col min="1" max="1" width="19.85546875" customWidth="1"/>
    <col min="2" max="2" width="20.28515625" customWidth="1"/>
    <col min="3" max="3" width="23.42578125" customWidth="1"/>
    <col min="4" max="4" width="25.5703125" customWidth="1"/>
    <col min="5" max="5" width="25.42578125" customWidth="1"/>
    <col min="6" max="6" width="18.28515625" customWidth="1"/>
  </cols>
  <sheetData>
    <row r="1" spans="1:6" x14ac:dyDescent="0.2">
      <c r="A1" s="1" t="s">
        <v>0</v>
      </c>
      <c r="B1" s="1" t="s">
        <v>2</v>
      </c>
      <c r="C1" s="1" t="s">
        <v>3</v>
      </c>
      <c r="D1" s="1" t="s">
        <v>4</v>
      </c>
      <c r="E1" s="1" t="s">
        <v>5</v>
      </c>
      <c r="F1" s="1" t="s">
        <v>6</v>
      </c>
    </row>
    <row r="2" spans="1:6" x14ac:dyDescent="0.2">
      <c r="A2" s="3">
        <v>76.897400000000005</v>
      </c>
      <c r="B2" s="3">
        <v>11.0092</v>
      </c>
      <c r="C2" s="3">
        <v>4.0033399999999997</v>
      </c>
      <c r="D2" s="3">
        <v>2.4186800000000002</v>
      </c>
      <c r="E2" s="3">
        <v>2.08507</v>
      </c>
      <c r="F2" s="3">
        <v>1.2510399999999999</v>
      </c>
    </row>
    <row r="3" spans="1:6" x14ac:dyDescent="0.2">
      <c r="A3" s="3" t="s">
        <v>12</v>
      </c>
      <c r="B3" s="3"/>
      <c r="C3" s="3"/>
      <c r="D3" s="3"/>
      <c r="E3" s="3"/>
      <c r="F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1"/>
  <sheetViews>
    <sheetView workbookViewId="0"/>
  </sheetViews>
  <sheetFormatPr baseColWidth="10" defaultColWidth="12.5703125" defaultRowHeight="15.75" customHeight="1" x14ac:dyDescent="0.2"/>
  <cols>
    <col min="1" max="1" width="9.42578125" customWidth="1"/>
    <col min="2" max="2" width="22.42578125" customWidth="1"/>
    <col min="3" max="3" width="20.28515625" customWidth="1"/>
    <col min="4" max="4" width="23.42578125" customWidth="1"/>
    <col min="5" max="5" width="25.5703125" customWidth="1"/>
    <col min="6" max="6" width="25.42578125" customWidth="1"/>
    <col min="7" max="7" width="18.28515625" customWidth="1"/>
  </cols>
  <sheetData>
    <row r="1" spans="1:7" x14ac:dyDescent="0.2">
      <c r="A1" s="1" t="s">
        <v>1</v>
      </c>
      <c r="B1" s="1" t="s">
        <v>0</v>
      </c>
      <c r="C1" s="1" t="s">
        <v>2</v>
      </c>
      <c r="D1" s="1" t="s">
        <v>3</v>
      </c>
      <c r="E1" s="1" t="s">
        <v>4</v>
      </c>
      <c r="F1" s="1" t="s">
        <v>5</v>
      </c>
      <c r="G1" s="1" t="s">
        <v>6</v>
      </c>
    </row>
    <row r="2" spans="1:7" x14ac:dyDescent="0.2">
      <c r="A2" s="9" t="s">
        <v>22</v>
      </c>
      <c r="B2" s="10">
        <v>81.818200000000004</v>
      </c>
      <c r="C2" s="10">
        <v>22.7273</v>
      </c>
      <c r="D2" s="10">
        <v>4.5454499999999998</v>
      </c>
      <c r="E2" s="10">
        <v>4.5454499999999998</v>
      </c>
      <c r="F2" s="10">
        <v>4.5454499999999998</v>
      </c>
      <c r="G2" s="10">
        <v>4.5454499999999998</v>
      </c>
    </row>
    <row r="3" spans="1:7" x14ac:dyDescent="0.2">
      <c r="A3" s="3" t="s">
        <v>14</v>
      </c>
      <c r="B3" s="10">
        <v>80.645200000000003</v>
      </c>
      <c r="C3" s="10">
        <v>9.6774199999999997</v>
      </c>
      <c r="D3" s="10">
        <v>3.2258100000000001</v>
      </c>
      <c r="E3" s="10">
        <v>3.2258100000000001</v>
      </c>
      <c r="F3" s="10">
        <v>3.2258100000000001</v>
      </c>
      <c r="G3" s="10">
        <v>3.2258100000000001</v>
      </c>
    </row>
    <row r="4" spans="1:7" x14ac:dyDescent="0.2">
      <c r="A4" s="3" t="s">
        <v>23</v>
      </c>
      <c r="B4" s="10">
        <v>79.752099999999999</v>
      </c>
      <c r="C4" s="10">
        <v>13.223100000000001</v>
      </c>
      <c r="D4" s="10">
        <v>4.1322299999999998</v>
      </c>
      <c r="E4" s="10">
        <v>3.30579</v>
      </c>
      <c r="F4" s="10">
        <v>2.89256</v>
      </c>
      <c r="G4" s="10">
        <v>2.4793400000000001</v>
      </c>
    </row>
    <row r="5" spans="1:7" x14ac:dyDescent="0.2">
      <c r="A5" s="3" t="s">
        <v>25</v>
      </c>
      <c r="B5" s="10">
        <v>84.545500000000004</v>
      </c>
      <c r="C5" s="10">
        <v>10</v>
      </c>
      <c r="D5" s="10">
        <v>2.7272699999999999</v>
      </c>
      <c r="E5" s="10">
        <v>2.7272699999999999</v>
      </c>
      <c r="F5" s="10">
        <v>1.8181799999999999</v>
      </c>
      <c r="G5" s="10">
        <v>1.8181799999999999</v>
      </c>
    </row>
    <row r="6" spans="1:7" x14ac:dyDescent="0.2">
      <c r="A6" s="9" t="s">
        <v>11</v>
      </c>
      <c r="B6" s="10">
        <v>75</v>
      </c>
      <c r="C6" s="10">
        <v>8.75</v>
      </c>
      <c r="D6" s="10">
        <v>4.375</v>
      </c>
      <c r="E6" s="10">
        <v>1.875</v>
      </c>
      <c r="F6" s="10">
        <v>1.875</v>
      </c>
      <c r="G6" s="10">
        <v>1.25</v>
      </c>
    </row>
    <row r="7" spans="1:7" x14ac:dyDescent="0.2">
      <c r="A7" s="9" t="s">
        <v>17</v>
      </c>
      <c r="B7" s="10">
        <v>78.350499999999997</v>
      </c>
      <c r="C7" s="10">
        <v>17.5258</v>
      </c>
      <c r="D7" s="10">
        <v>8.24742</v>
      </c>
      <c r="E7" s="10">
        <v>3.0927799999999999</v>
      </c>
      <c r="F7" s="10">
        <v>2.0618599999999998</v>
      </c>
      <c r="G7" s="10">
        <v>1.0309299999999999</v>
      </c>
    </row>
    <row r="8" spans="1:7" x14ac:dyDescent="0.2">
      <c r="A8" s="3" t="s">
        <v>16</v>
      </c>
      <c r="B8" s="10">
        <v>72.602699999999999</v>
      </c>
      <c r="C8" s="10">
        <v>8.9041099999999993</v>
      </c>
      <c r="D8" s="10">
        <v>2.3972600000000002</v>
      </c>
      <c r="E8" s="10">
        <v>1.3698600000000001</v>
      </c>
      <c r="F8" s="10">
        <v>1.3698600000000001</v>
      </c>
      <c r="G8" s="10">
        <v>0.68493199999999999</v>
      </c>
    </row>
    <row r="9" spans="1:7" x14ac:dyDescent="0.2">
      <c r="A9" s="9" t="s">
        <v>20</v>
      </c>
      <c r="B9" s="10">
        <v>74.576300000000003</v>
      </c>
      <c r="C9" s="10">
        <v>10.169499999999999</v>
      </c>
      <c r="D9" s="10">
        <v>5.0847499999999997</v>
      </c>
      <c r="E9" s="10">
        <v>1.69492</v>
      </c>
      <c r="F9" s="10">
        <v>1.69492</v>
      </c>
      <c r="G9" s="10">
        <v>0</v>
      </c>
    </row>
    <row r="10" spans="1:7" x14ac:dyDescent="0.2">
      <c r="A10" s="9" t="s">
        <v>19</v>
      </c>
      <c r="B10" s="10">
        <v>76.363600000000005</v>
      </c>
      <c r="C10" s="10">
        <v>9.6969700000000003</v>
      </c>
      <c r="D10" s="10">
        <v>4.8484800000000003</v>
      </c>
      <c r="E10" s="10">
        <v>3.0303</v>
      </c>
      <c r="F10" s="10">
        <v>2.4242400000000002</v>
      </c>
      <c r="G10" s="10">
        <v>0</v>
      </c>
    </row>
    <row r="11" spans="1:7" x14ac:dyDescent="0.2">
      <c r="A11" s="3" t="s">
        <v>24</v>
      </c>
      <c r="B11" s="10">
        <v>71.428600000000003</v>
      </c>
      <c r="C11" s="10">
        <v>9.5238099999999992</v>
      </c>
      <c r="D11" s="10">
        <v>0</v>
      </c>
      <c r="E11" s="10">
        <v>0</v>
      </c>
      <c r="F11" s="10">
        <v>0</v>
      </c>
      <c r="G11" s="10">
        <v>0</v>
      </c>
    </row>
    <row r="12" spans="1:7" x14ac:dyDescent="0.2">
      <c r="A12" s="3" t="s">
        <v>33</v>
      </c>
    </row>
    <row r="13" spans="1:7" x14ac:dyDescent="0.2">
      <c r="A13" s="3" t="s">
        <v>35</v>
      </c>
    </row>
    <row r="14" spans="1:7" x14ac:dyDescent="0.2">
      <c r="A14" s="3" t="s">
        <v>12</v>
      </c>
      <c r="B14" s="1"/>
      <c r="C14" s="1"/>
      <c r="D14" s="1"/>
      <c r="E14" s="1"/>
      <c r="F14" s="1"/>
      <c r="G14" s="1"/>
    </row>
    <row r="15" spans="1:7" x14ac:dyDescent="0.2">
      <c r="B15" s="1"/>
      <c r="C15" s="1"/>
      <c r="D15" s="1"/>
      <c r="E15" s="1"/>
      <c r="F15" s="1"/>
      <c r="G15" s="1"/>
    </row>
    <row r="16" spans="1:7" x14ac:dyDescent="0.2">
      <c r="B16" s="1" t="s">
        <v>0</v>
      </c>
      <c r="C16" s="1" t="s">
        <v>2</v>
      </c>
      <c r="D16" s="1" t="s">
        <v>3</v>
      </c>
      <c r="E16" s="1" t="s">
        <v>4</v>
      </c>
      <c r="F16" s="1" t="s">
        <v>5</v>
      </c>
      <c r="G16" s="1" t="s">
        <v>6</v>
      </c>
    </row>
    <row r="17" spans="2:7" x14ac:dyDescent="0.2">
      <c r="B17" s="3">
        <v>76.897400000000005</v>
      </c>
      <c r="C17" s="3">
        <v>11.0092</v>
      </c>
      <c r="D17" s="3">
        <v>4.0033399999999997</v>
      </c>
      <c r="E17" s="3">
        <v>2.4186800000000002</v>
      </c>
      <c r="F17" s="3">
        <v>2.08507</v>
      </c>
      <c r="G17" s="3">
        <v>1.2510399999999999</v>
      </c>
    </row>
    <row r="18" spans="2:7" x14ac:dyDescent="0.2">
      <c r="B18" s="3" t="s">
        <v>12</v>
      </c>
      <c r="C18" s="3"/>
      <c r="D18" s="3"/>
      <c r="E18" s="3"/>
      <c r="F18" s="3"/>
      <c r="G18" s="3"/>
    </row>
    <row r="19" spans="2:7" x14ac:dyDescent="0.2">
      <c r="B19" s="3" t="s">
        <v>37</v>
      </c>
    </row>
    <row r="21" spans="2:7" x14ac:dyDescent="0.2">
      <c r="B21" s="1"/>
      <c r="C21" s="17" t="s">
        <v>38</v>
      </c>
      <c r="D21" s="19"/>
      <c r="E21" s="19"/>
      <c r="F21" s="20"/>
    </row>
    <row r="22" spans="2:7" x14ac:dyDescent="0.2">
      <c r="B22" s="1"/>
      <c r="C22" s="21" t="s">
        <v>40</v>
      </c>
      <c r="F22" s="22"/>
    </row>
    <row r="23" spans="2:7" x14ac:dyDescent="0.2">
      <c r="B23" s="1"/>
      <c r="C23" s="21" t="s">
        <v>41</v>
      </c>
      <c r="D23" s="24" t="s">
        <v>42</v>
      </c>
      <c r="F23" s="22"/>
    </row>
    <row r="24" spans="2:7" x14ac:dyDescent="0.2">
      <c r="B24" s="1"/>
      <c r="C24" s="21"/>
      <c r="D24" s="24" t="s">
        <v>44</v>
      </c>
      <c r="F24" s="22"/>
    </row>
    <row r="25" spans="2:7" x14ac:dyDescent="0.2">
      <c r="B25" s="1"/>
      <c r="C25" s="26"/>
      <c r="D25" s="27"/>
      <c r="E25" s="27"/>
      <c r="F25" s="29"/>
    </row>
    <row r="26" spans="2:7" x14ac:dyDescent="0.2">
      <c r="B26" s="1"/>
      <c r="C26" s="1"/>
    </row>
    <row r="27" spans="2:7" x14ac:dyDescent="0.2">
      <c r="B27" s="1"/>
      <c r="C27" s="17" t="s">
        <v>45</v>
      </c>
      <c r="D27" s="19"/>
      <c r="E27" s="19"/>
      <c r="F27" s="20"/>
    </row>
    <row r="28" spans="2:7" x14ac:dyDescent="0.2">
      <c r="B28" s="3"/>
      <c r="C28" s="21" t="s">
        <v>46</v>
      </c>
      <c r="F28" s="22"/>
    </row>
    <row r="29" spans="2:7" x14ac:dyDescent="0.2">
      <c r="B29" s="3"/>
      <c r="C29" s="21" t="s">
        <v>48</v>
      </c>
      <c r="D29" s="24" t="s">
        <v>50</v>
      </c>
      <c r="F29" s="22"/>
    </row>
    <row r="30" spans="2:7" x14ac:dyDescent="0.2">
      <c r="C30" s="21"/>
      <c r="D30" s="24" t="s">
        <v>51</v>
      </c>
      <c r="F30" s="22"/>
    </row>
    <row r="31" spans="2:7" x14ac:dyDescent="0.2">
      <c r="C31" s="26"/>
      <c r="D31" s="27"/>
      <c r="E31" s="27"/>
      <c r="F31" s="29"/>
    </row>
  </sheetData>
  <conditionalFormatting sqref="A1:G11">
    <cfRule type="colorScale" priority="1">
      <colorScale>
        <cfvo type="percent" val="0"/>
        <cfvo type="percent" val="7"/>
        <cfvo type="percent" val="100"/>
        <color rgb="FFEA4335"/>
        <color rgb="FFFFD666"/>
        <color rgb="FF57BB8A"/>
      </colorScale>
    </cfRule>
  </conditionalFormatting>
  <conditionalFormatting sqref="B17:G17">
    <cfRule type="colorScale" priority="2">
      <colorScale>
        <cfvo type="percent" val="0"/>
        <cfvo type="percent" val="7"/>
        <cfvo type="percent" val="100"/>
        <color rgb="FFEA4335"/>
        <color rgb="FFFFD666"/>
        <color rgb="FF57BB8A"/>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2"/>
  <sheetViews>
    <sheetView workbookViewId="0"/>
  </sheetViews>
  <sheetFormatPr baseColWidth="10" defaultColWidth="12.5703125" defaultRowHeight="15.75" customHeight="1" x14ac:dyDescent="0.2"/>
  <cols>
    <col min="1" max="1" width="9.5703125" customWidth="1"/>
    <col min="2" max="2" width="16.85546875" customWidth="1"/>
    <col min="3" max="5" width="17.85546875" customWidth="1"/>
  </cols>
  <sheetData>
    <row r="1" spans="1:8" x14ac:dyDescent="0.2">
      <c r="A1" s="3" t="s">
        <v>1</v>
      </c>
      <c r="B1" s="3" t="s">
        <v>7</v>
      </c>
      <c r="C1" s="3" t="s">
        <v>8</v>
      </c>
      <c r="D1" s="3" t="s">
        <v>9</v>
      </c>
      <c r="E1" s="3" t="s">
        <v>10</v>
      </c>
    </row>
    <row r="2" spans="1:8" x14ac:dyDescent="0.2">
      <c r="A2" s="3" t="s">
        <v>11</v>
      </c>
      <c r="B2" s="3">
        <v>85.1</v>
      </c>
      <c r="C2" s="3">
        <v>52.3</v>
      </c>
      <c r="D2" s="3">
        <v>22.5</v>
      </c>
      <c r="E2" s="3">
        <v>1.8</v>
      </c>
      <c r="H2" s="5"/>
    </row>
    <row r="3" spans="1:8" x14ac:dyDescent="0.2">
      <c r="A3" s="3" t="s">
        <v>14</v>
      </c>
      <c r="B3" s="3">
        <v>80.8</v>
      </c>
      <c r="C3" s="3">
        <v>46.8</v>
      </c>
      <c r="D3" s="3">
        <v>19.2</v>
      </c>
      <c r="E3" s="3">
        <v>2.5</v>
      </c>
      <c r="H3" s="5"/>
    </row>
    <row r="4" spans="1:8" x14ac:dyDescent="0.2">
      <c r="A4" s="3" t="s">
        <v>16</v>
      </c>
      <c r="B4" s="3">
        <v>87.2</v>
      </c>
      <c r="C4" s="3">
        <v>54.4</v>
      </c>
      <c r="D4" s="3">
        <v>24.4</v>
      </c>
      <c r="E4" s="3">
        <v>2.5</v>
      </c>
      <c r="H4" s="5"/>
    </row>
    <row r="5" spans="1:8" x14ac:dyDescent="0.2">
      <c r="A5" s="3" t="s">
        <v>17</v>
      </c>
      <c r="B5" s="3">
        <v>83.7</v>
      </c>
      <c r="C5" s="3">
        <v>51.8</v>
      </c>
      <c r="D5" s="3">
        <v>22.1</v>
      </c>
      <c r="E5" s="3">
        <v>1.7</v>
      </c>
      <c r="H5" s="5"/>
    </row>
    <row r="6" spans="1:8" x14ac:dyDescent="0.2">
      <c r="A6" s="3" t="s">
        <v>19</v>
      </c>
      <c r="B6" s="3">
        <v>84.5</v>
      </c>
      <c r="C6" s="3">
        <v>52</v>
      </c>
      <c r="D6" s="3">
        <v>21.8</v>
      </c>
      <c r="E6" s="3">
        <v>1.6</v>
      </c>
      <c r="H6" s="5"/>
    </row>
    <row r="7" spans="1:8" x14ac:dyDescent="0.2">
      <c r="A7" s="3" t="s">
        <v>20</v>
      </c>
      <c r="B7" s="3">
        <v>79.099999999999994</v>
      </c>
      <c r="C7" s="3">
        <v>50</v>
      </c>
      <c r="D7" s="3">
        <v>20.6</v>
      </c>
      <c r="E7" s="3">
        <v>2.5</v>
      </c>
      <c r="H7" s="5"/>
    </row>
    <row r="8" spans="1:8" x14ac:dyDescent="0.2">
      <c r="A8" s="3" t="s">
        <v>23</v>
      </c>
      <c r="B8" s="3">
        <v>86.1</v>
      </c>
      <c r="C8" s="3">
        <v>55.8</v>
      </c>
      <c r="D8" s="3">
        <v>25.5</v>
      </c>
      <c r="E8" s="3">
        <v>3.1</v>
      </c>
      <c r="H8" s="5"/>
    </row>
    <row r="9" spans="1:8" x14ac:dyDescent="0.2">
      <c r="A9" s="3" t="s">
        <v>24</v>
      </c>
      <c r="B9" s="3">
        <v>80.900000000000006</v>
      </c>
      <c r="C9" s="3">
        <v>49.1</v>
      </c>
      <c r="D9" s="3">
        <v>22.1</v>
      </c>
      <c r="E9" s="3">
        <v>2.1</v>
      </c>
      <c r="H9" s="5"/>
    </row>
    <row r="10" spans="1:8" x14ac:dyDescent="0.2">
      <c r="A10" s="3" t="s">
        <v>25</v>
      </c>
      <c r="B10" s="3">
        <v>84.3</v>
      </c>
      <c r="C10" s="3">
        <v>51.1</v>
      </c>
      <c r="D10" s="3">
        <v>22.9</v>
      </c>
      <c r="E10" s="3">
        <v>3.2</v>
      </c>
      <c r="H10" s="5"/>
    </row>
    <row r="11" spans="1:8" x14ac:dyDescent="0.2">
      <c r="A11" s="3" t="s">
        <v>22</v>
      </c>
      <c r="B11" s="3">
        <v>86.1</v>
      </c>
      <c r="C11" s="3">
        <v>48.8</v>
      </c>
      <c r="D11" s="3">
        <v>23</v>
      </c>
      <c r="E11" s="3">
        <v>2.5</v>
      </c>
      <c r="H11" s="5"/>
    </row>
    <row r="12" spans="1:8" x14ac:dyDescent="0.2">
      <c r="A12" s="3" t="s">
        <v>28</v>
      </c>
      <c r="B12" s="3"/>
      <c r="C12" s="3"/>
      <c r="D12" s="3"/>
      <c r="E12" s="3"/>
      <c r="H12" s="5"/>
    </row>
  </sheetData>
  <autoFilter ref="A1:J1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46"/>
  <sheetViews>
    <sheetView workbookViewId="0"/>
  </sheetViews>
  <sheetFormatPr baseColWidth="10" defaultColWidth="12.5703125" defaultRowHeight="15.75" customHeight="1" x14ac:dyDescent="0.2"/>
  <cols>
    <col min="1" max="2" width="13.42578125" customWidth="1"/>
    <col min="3" max="5" width="14.42578125" customWidth="1"/>
    <col min="6" max="9" width="17" customWidth="1"/>
  </cols>
  <sheetData>
    <row r="1" spans="1:9" ht="12.75" x14ac:dyDescent="0.2">
      <c r="A1" s="3" t="s">
        <v>27</v>
      </c>
      <c r="B1" s="3" t="s">
        <v>7</v>
      </c>
      <c r="C1" s="3" t="s">
        <v>8</v>
      </c>
      <c r="D1" s="3" t="s">
        <v>9</v>
      </c>
      <c r="E1" s="3" t="s">
        <v>10</v>
      </c>
      <c r="F1" s="3"/>
      <c r="G1" s="3"/>
      <c r="H1" s="3"/>
      <c r="I1" s="3"/>
    </row>
    <row r="2" spans="1:9" ht="12.75" x14ac:dyDescent="0.2">
      <c r="A2" s="12">
        <v>45658</v>
      </c>
      <c r="B2" s="10">
        <v>86.2</v>
      </c>
      <c r="C2" s="10">
        <v>56.2</v>
      </c>
      <c r="D2" s="10">
        <v>24.1</v>
      </c>
      <c r="E2" s="3">
        <v>3</v>
      </c>
      <c r="F2" s="10">
        <f t="shared" ref="F2:F9" si="0">AVERAGE(B2:E2)</f>
        <v>42.375</v>
      </c>
      <c r="G2" s="3"/>
      <c r="H2" s="3"/>
      <c r="I2" s="3"/>
    </row>
    <row r="3" spans="1:9" ht="12.75" x14ac:dyDescent="0.2">
      <c r="A3" s="12">
        <v>45689</v>
      </c>
      <c r="B3" s="10">
        <v>86.8</v>
      </c>
      <c r="C3" s="10">
        <v>56</v>
      </c>
      <c r="D3" s="10">
        <v>24.6</v>
      </c>
      <c r="E3" s="3">
        <v>2.7</v>
      </c>
      <c r="F3" s="10">
        <f t="shared" si="0"/>
        <v>42.524999999999999</v>
      </c>
      <c r="G3" s="3"/>
      <c r="H3" s="3"/>
      <c r="I3" s="3"/>
    </row>
    <row r="4" spans="1:9" ht="12.75" x14ac:dyDescent="0.2">
      <c r="A4" s="12">
        <v>45717</v>
      </c>
      <c r="B4" s="16">
        <v>87.7</v>
      </c>
      <c r="C4" s="16">
        <v>56.8</v>
      </c>
      <c r="D4" s="16">
        <v>26.6</v>
      </c>
      <c r="E4" s="18">
        <v>3</v>
      </c>
      <c r="F4" s="10">
        <f t="shared" si="0"/>
        <v>43.524999999999999</v>
      </c>
      <c r="G4" s="3"/>
      <c r="H4" s="3"/>
      <c r="I4" s="3"/>
    </row>
    <row r="5" spans="1:9" ht="12.75" x14ac:dyDescent="0.2">
      <c r="A5" s="12">
        <v>45748</v>
      </c>
      <c r="B5" s="10">
        <v>87.2</v>
      </c>
      <c r="C5" s="10">
        <v>53.9</v>
      </c>
      <c r="D5" s="10">
        <v>23</v>
      </c>
      <c r="E5" s="3">
        <v>2</v>
      </c>
      <c r="F5" s="10">
        <f t="shared" si="0"/>
        <v>41.524999999999999</v>
      </c>
      <c r="G5" s="3"/>
      <c r="H5" s="3"/>
      <c r="I5" s="3"/>
    </row>
    <row r="6" spans="1:9" ht="12.75" x14ac:dyDescent="0.2">
      <c r="A6" s="12">
        <v>45778</v>
      </c>
      <c r="B6" s="10">
        <v>86</v>
      </c>
      <c r="C6" s="10">
        <v>54.5</v>
      </c>
      <c r="D6" s="10">
        <v>26.2</v>
      </c>
      <c r="E6" s="3">
        <v>3</v>
      </c>
      <c r="F6" s="10">
        <f t="shared" si="0"/>
        <v>42.424999999999997</v>
      </c>
      <c r="G6" s="3"/>
      <c r="H6" s="3"/>
      <c r="I6" s="3"/>
    </row>
    <row r="7" spans="1:9" ht="12.75" x14ac:dyDescent="0.2">
      <c r="A7" s="12">
        <v>45809</v>
      </c>
      <c r="B7" s="10">
        <v>85.9</v>
      </c>
      <c r="C7" s="10">
        <v>55.1</v>
      </c>
      <c r="D7" s="10">
        <v>25.2</v>
      </c>
      <c r="E7" s="3">
        <v>2.1</v>
      </c>
      <c r="F7" s="10">
        <f t="shared" si="0"/>
        <v>42.074999999999996</v>
      </c>
      <c r="G7" s="3"/>
      <c r="H7" s="3"/>
      <c r="I7" s="3"/>
    </row>
    <row r="8" spans="1:9" ht="12.75" x14ac:dyDescent="0.2">
      <c r="A8" s="12">
        <v>45839</v>
      </c>
      <c r="B8" s="10">
        <v>86.4</v>
      </c>
      <c r="C8" s="10">
        <v>56.4</v>
      </c>
      <c r="D8" s="10">
        <v>25.9</v>
      </c>
      <c r="E8" s="3">
        <v>2.7</v>
      </c>
      <c r="F8" s="10">
        <f t="shared" si="0"/>
        <v>42.85</v>
      </c>
      <c r="G8" s="3"/>
      <c r="H8" s="3"/>
      <c r="I8" s="3"/>
    </row>
    <row r="9" spans="1:9" ht="12.75" x14ac:dyDescent="0.2">
      <c r="A9" s="12">
        <v>45870</v>
      </c>
      <c r="B9" s="25">
        <v>70.8</v>
      </c>
      <c r="C9" s="25">
        <v>29.7</v>
      </c>
      <c r="D9" s="28">
        <v>7.5</v>
      </c>
      <c r="E9" s="30">
        <v>0.2</v>
      </c>
      <c r="F9" s="10">
        <f t="shared" si="0"/>
        <v>27.05</v>
      </c>
      <c r="G9" s="3"/>
      <c r="H9" s="3"/>
      <c r="I9" s="3"/>
    </row>
    <row r="10" spans="1:9" ht="15.75" customHeight="1" x14ac:dyDescent="0.25">
      <c r="A10" s="1" t="s">
        <v>47</v>
      </c>
      <c r="B10" s="10">
        <f t="shared" ref="B10:E10" si="1">B4-B9</f>
        <v>16.900000000000006</v>
      </c>
      <c r="C10" s="31">
        <f t="shared" si="1"/>
        <v>27.099999999999998</v>
      </c>
      <c r="D10" s="10">
        <f t="shared" si="1"/>
        <v>19.100000000000001</v>
      </c>
      <c r="E10" s="3">
        <f t="shared" si="1"/>
        <v>2.8</v>
      </c>
      <c r="F10" s="3"/>
      <c r="G10" s="3"/>
      <c r="H10" s="3"/>
      <c r="I10" s="3"/>
    </row>
    <row r="11" spans="1:9" ht="12.75" x14ac:dyDescent="0.2">
      <c r="A11" s="3"/>
      <c r="B11" s="3"/>
      <c r="C11" s="3"/>
      <c r="D11" s="3"/>
      <c r="E11" s="3"/>
      <c r="F11" s="3"/>
      <c r="G11" s="3"/>
      <c r="H11" s="3"/>
      <c r="I11" s="3"/>
    </row>
    <row r="12" spans="1:9" ht="12.75" x14ac:dyDescent="0.2">
      <c r="A12" s="3"/>
      <c r="B12" s="3"/>
      <c r="C12" s="3"/>
      <c r="E12" s="3"/>
      <c r="F12" s="3"/>
      <c r="G12" s="3"/>
      <c r="H12" s="3"/>
      <c r="I12" s="3"/>
    </row>
    <row r="13" spans="1:9" ht="12.75" x14ac:dyDescent="0.2">
      <c r="A13" s="3" t="s">
        <v>53</v>
      </c>
      <c r="B13" s="3"/>
      <c r="C13" s="3"/>
      <c r="D13" s="3"/>
      <c r="E13" s="3"/>
      <c r="F13" s="3"/>
      <c r="G13" s="3"/>
      <c r="H13" s="3"/>
      <c r="I13" s="3"/>
    </row>
    <row r="14" spans="1:9" ht="12.75" x14ac:dyDescent="0.2">
      <c r="A14" s="3"/>
      <c r="B14" s="3"/>
      <c r="C14" s="3"/>
      <c r="D14" s="3"/>
      <c r="E14" s="3"/>
      <c r="F14" s="3"/>
      <c r="G14" s="3"/>
      <c r="H14" s="3"/>
      <c r="I14" s="3"/>
    </row>
    <row r="15" spans="1:9" ht="12.75" x14ac:dyDescent="0.2">
      <c r="A15" s="3" t="s">
        <v>1</v>
      </c>
      <c r="B15" s="3" t="s">
        <v>7</v>
      </c>
      <c r="C15" s="3" t="s">
        <v>8</v>
      </c>
      <c r="D15" s="3" t="s">
        <v>9</v>
      </c>
      <c r="E15" s="3" t="s">
        <v>10</v>
      </c>
      <c r="F15" s="32" t="s">
        <v>55</v>
      </c>
      <c r="G15" s="32"/>
      <c r="H15" s="32"/>
      <c r="I15" s="32"/>
    </row>
    <row r="16" spans="1:9" ht="12.75" x14ac:dyDescent="0.2">
      <c r="A16" s="3" t="s">
        <v>23</v>
      </c>
      <c r="B16" s="10">
        <v>86.1</v>
      </c>
      <c r="C16" s="16">
        <v>55.8</v>
      </c>
      <c r="D16" s="16">
        <v>25.5</v>
      </c>
      <c r="E16" s="10">
        <v>3.1</v>
      </c>
      <c r="F16" s="10">
        <f t="shared" ref="F16:F25" si="2">AVERAGE(B16:E16)</f>
        <v>42.624999999999993</v>
      </c>
      <c r="G16" s="3"/>
      <c r="H16" s="3"/>
      <c r="I16" s="3"/>
    </row>
    <row r="17" spans="1:9" ht="12.75" x14ac:dyDescent="0.2">
      <c r="A17" s="3" t="s">
        <v>16</v>
      </c>
      <c r="B17" s="16">
        <v>87.2</v>
      </c>
      <c r="C17" s="10">
        <v>54.4</v>
      </c>
      <c r="D17" s="10">
        <v>24.4</v>
      </c>
      <c r="E17" s="10">
        <v>2.5</v>
      </c>
      <c r="F17" s="10">
        <f t="shared" si="2"/>
        <v>42.125</v>
      </c>
      <c r="G17" s="3"/>
      <c r="H17" s="3"/>
      <c r="I17" s="3"/>
    </row>
    <row r="18" spans="1:9" ht="12.75" x14ac:dyDescent="0.2">
      <c r="A18" s="3" t="s">
        <v>11</v>
      </c>
      <c r="B18" s="10">
        <v>85.1</v>
      </c>
      <c r="C18" s="10">
        <v>52.3</v>
      </c>
      <c r="D18" s="10">
        <v>22.5</v>
      </c>
      <c r="E18" s="10">
        <v>1.8</v>
      </c>
      <c r="F18" s="10">
        <f t="shared" si="2"/>
        <v>40.424999999999997</v>
      </c>
      <c r="G18" s="3"/>
      <c r="H18" s="3"/>
      <c r="I18" s="3"/>
    </row>
    <row r="19" spans="1:9" ht="12.75" x14ac:dyDescent="0.2">
      <c r="A19" s="3" t="s">
        <v>25</v>
      </c>
      <c r="B19" s="10">
        <v>84.3</v>
      </c>
      <c r="C19" s="10">
        <v>51.1</v>
      </c>
      <c r="D19" s="10">
        <v>22.9</v>
      </c>
      <c r="E19" s="16">
        <v>3.2</v>
      </c>
      <c r="F19" s="10">
        <f t="shared" si="2"/>
        <v>40.375</v>
      </c>
      <c r="G19" s="3"/>
      <c r="H19" s="3"/>
      <c r="I19" s="3"/>
    </row>
    <row r="20" spans="1:9" ht="12.75" x14ac:dyDescent="0.2">
      <c r="A20" s="3" t="s">
        <v>22</v>
      </c>
      <c r="B20" s="10">
        <v>86.1</v>
      </c>
      <c r="C20" s="10">
        <v>48.8</v>
      </c>
      <c r="D20" s="10">
        <v>23</v>
      </c>
      <c r="E20" s="10">
        <v>2.5</v>
      </c>
      <c r="F20" s="10">
        <f t="shared" si="2"/>
        <v>40.099999999999994</v>
      </c>
      <c r="G20" s="3"/>
      <c r="H20" s="3"/>
      <c r="I20" s="3"/>
    </row>
    <row r="21" spans="1:9" ht="12.75" x14ac:dyDescent="0.2">
      <c r="A21" s="3" t="s">
        <v>19</v>
      </c>
      <c r="B21" s="10">
        <v>84.5</v>
      </c>
      <c r="C21" s="10">
        <v>52</v>
      </c>
      <c r="D21" s="10">
        <v>21.8</v>
      </c>
      <c r="E21" s="35">
        <v>1.6</v>
      </c>
      <c r="F21" s="10">
        <f t="shared" si="2"/>
        <v>39.975000000000001</v>
      </c>
      <c r="G21" s="3"/>
      <c r="H21" s="3"/>
      <c r="I21" s="3"/>
    </row>
    <row r="22" spans="1:9" ht="12.75" x14ac:dyDescent="0.2">
      <c r="A22" s="3" t="s">
        <v>17</v>
      </c>
      <c r="B22" s="10">
        <v>83.7</v>
      </c>
      <c r="C22" s="10">
        <v>51.8</v>
      </c>
      <c r="D22" s="10">
        <v>22.1</v>
      </c>
      <c r="E22" s="10">
        <v>1.7</v>
      </c>
      <c r="F22" s="10">
        <f t="shared" si="2"/>
        <v>39.824999999999996</v>
      </c>
      <c r="G22" s="3"/>
      <c r="H22" s="3"/>
      <c r="I22" s="3"/>
    </row>
    <row r="23" spans="1:9" ht="12.75" x14ac:dyDescent="0.2">
      <c r="A23" s="3" t="s">
        <v>24</v>
      </c>
      <c r="B23" s="10">
        <v>80.900000000000006</v>
      </c>
      <c r="C23" s="10">
        <v>49.1</v>
      </c>
      <c r="D23" s="10">
        <v>22.1</v>
      </c>
      <c r="E23" s="10">
        <v>2.1</v>
      </c>
      <c r="F23" s="10">
        <f t="shared" si="2"/>
        <v>38.549999999999997</v>
      </c>
      <c r="G23" s="3"/>
      <c r="H23" s="3"/>
      <c r="I23" s="3"/>
    </row>
    <row r="24" spans="1:9" ht="12.75" x14ac:dyDescent="0.2">
      <c r="A24" s="3" t="s">
        <v>20</v>
      </c>
      <c r="B24" s="25">
        <v>79.099999999999994</v>
      </c>
      <c r="C24" s="10">
        <v>50</v>
      </c>
      <c r="D24" s="10">
        <v>20.6</v>
      </c>
      <c r="E24" s="10">
        <v>2.5</v>
      </c>
      <c r="F24" s="10">
        <f t="shared" si="2"/>
        <v>38.049999999999997</v>
      </c>
      <c r="G24" s="3"/>
      <c r="H24" s="3"/>
      <c r="I24" s="3"/>
    </row>
    <row r="25" spans="1:9" ht="12.75" x14ac:dyDescent="0.2">
      <c r="A25" s="3" t="s">
        <v>14</v>
      </c>
      <c r="B25" s="10">
        <v>80.8</v>
      </c>
      <c r="C25" s="25">
        <v>46.8</v>
      </c>
      <c r="D25" s="37">
        <v>19.2</v>
      </c>
      <c r="E25" s="10">
        <v>2.5</v>
      </c>
      <c r="F25" s="10">
        <f t="shared" si="2"/>
        <v>37.324999999999996</v>
      </c>
      <c r="G25" s="3"/>
      <c r="H25" s="3"/>
      <c r="I25" s="3"/>
    </row>
    <row r="26" spans="1:9" ht="12.75" x14ac:dyDescent="0.2">
      <c r="A26" s="1" t="s">
        <v>47</v>
      </c>
      <c r="B26" s="10">
        <f>B17-B24</f>
        <v>8.1000000000000085</v>
      </c>
      <c r="C26" s="10">
        <f t="shared" ref="C26:D26" si="3">C16-C25</f>
        <v>9</v>
      </c>
      <c r="D26" s="10">
        <f t="shared" si="3"/>
        <v>6.3000000000000007</v>
      </c>
      <c r="E26" s="10">
        <f>E19-E21</f>
        <v>1.6</v>
      </c>
      <c r="G26" s="3"/>
      <c r="H26" s="3"/>
      <c r="I26" s="3"/>
    </row>
    <row r="27" spans="1:9" ht="12.75" x14ac:dyDescent="0.2">
      <c r="A27" s="56" t="s">
        <v>76</v>
      </c>
      <c r="B27" s="38">
        <f t="shared" ref="B27:B36" si="4">1-(B16/100)</f>
        <v>0.13900000000000001</v>
      </c>
      <c r="C27" s="38">
        <f t="shared" ref="C27:E27" si="5">1-(C16/B16)</f>
        <v>0.3519163763066202</v>
      </c>
      <c r="D27" s="38">
        <f t="shared" si="5"/>
        <v>0.543010752688172</v>
      </c>
      <c r="E27" s="38">
        <f t="shared" si="5"/>
        <v>0.8784313725490196</v>
      </c>
      <c r="F27" s="3" t="s">
        <v>23</v>
      </c>
      <c r="G27" s="3"/>
      <c r="H27" s="3"/>
      <c r="I27" s="3"/>
    </row>
    <row r="28" spans="1:9" ht="12.75" x14ac:dyDescent="0.2">
      <c r="A28" s="41"/>
      <c r="B28" s="38">
        <f t="shared" si="4"/>
        <v>0.128</v>
      </c>
      <c r="C28" s="38">
        <f t="shared" ref="C28:E28" si="6">1-(C17/B17)</f>
        <v>0.37614678899082576</v>
      </c>
      <c r="D28" s="38">
        <f t="shared" si="6"/>
        <v>0.55147058823529416</v>
      </c>
      <c r="E28" s="38">
        <f t="shared" si="6"/>
        <v>0.89754098360655732</v>
      </c>
      <c r="F28" s="3" t="s">
        <v>16</v>
      </c>
      <c r="G28" s="3"/>
      <c r="H28" s="3"/>
      <c r="I28" s="3"/>
    </row>
    <row r="29" spans="1:9" ht="12.75" x14ac:dyDescent="0.2">
      <c r="A29" s="41"/>
      <c r="B29" s="38">
        <f t="shared" si="4"/>
        <v>0.14900000000000002</v>
      </c>
      <c r="C29" s="38">
        <f t="shared" ref="C29:E29" si="7">1-(C18/B18)</f>
        <v>0.38542890716803757</v>
      </c>
      <c r="D29" s="38">
        <f t="shared" si="7"/>
        <v>0.5697896749521989</v>
      </c>
      <c r="E29" s="38">
        <f t="shared" si="7"/>
        <v>0.92</v>
      </c>
      <c r="F29" s="3" t="s">
        <v>11</v>
      </c>
      <c r="G29" s="3"/>
      <c r="H29" s="3"/>
      <c r="I29" s="3"/>
    </row>
    <row r="30" spans="1:9" ht="12.75" x14ac:dyDescent="0.2">
      <c r="A30" s="41"/>
      <c r="B30" s="38">
        <f t="shared" si="4"/>
        <v>0.15700000000000003</v>
      </c>
      <c r="C30" s="38">
        <f t="shared" ref="C30:E30" si="8">1-(C19/B19)</f>
        <v>0.39383155397390268</v>
      </c>
      <c r="D30" s="38">
        <f t="shared" si="8"/>
        <v>0.55185909980430536</v>
      </c>
      <c r="E30" s="38">
        <f t="shared" si="8"/>
        <v>0.86026200873362446</v>
      </c>
      <c r="F30" s="3" t="s">
        <v>25</v>
      </c>
      <c r="G30" s="3"/>
      <c r="H30" s="3"/>
      <c r="I30" s="3"/>
    </row>
    <row r="31" spans="1:9" ht="12.75" x14ac:dyDescent="0.2">
      <c r="A31" s="41"/>
      <c r="B31" s="38">
        <f t="shared" si="4"/>
        <v>0.13900000000000001</v>
      </c>
      <c r="C31" s="38">
        <f t="shared" ref="C31:E31" si="9">1-(C20/B20)</f>
        <v>0.43321718931475028</v>
      </c>
      <c r="D31" s="38">
        <f t="shared" si="9"/>
        <v>0.52868852459016391</v>
      </c>
      <c r="E31" s="38">
        <f t="shared" si="9"/>
        <v>0.89130434782608692</v>
      </c>
      <c r="F31" s="3" t="s">
        <v>22</v>
      </c>
      <c r="G31" s="3"/>
      <c r="H31" s="3"/>
      <c r="I31" s="3"/>
    </row>
    <row r="32" spans="1:9" ht="12.75" x14ac:dyDescent="0.2">
      <c r="A32" s="41"/>
      <c r="B32" s="38">
        <f t="shared" si="4"/>
        <v>0.15500000000000003</v>
      </c>
      <c r="C32" s="38">
        <f t="shared" ref="C32:E32" si="10">1-(C21/B21)</f>
        <v>0.38461538461538458</v>
      </c>
      <c r="D32" s="38">
        <f t="shared" si="10"/>
        <v>0.5807692307692307</v>
      </c>
      <c r="E32" s="39">
        <f t="shared" si="10"/>
        <v>0.92660550458715596</v>
      </c>
      <c r="F32" s="3" t="s">
        <v>19</v>
      </c>
      <c r="G32" s="3"/>
      <c r="H32" s="3"/>
      <c r="I32" s="3"/>
    </row>
    <row r="33" spans="1:9" ht="12.75" x14ac:dyDescent="0.2">
      <c r="A33" s="41"/>
      <c r="B33" s="38">
        <f t="shared" si="4"/>
        <v>0.16299999999999992</v>
      </c>
      <c r="C33" s="38">
        <f t="shared" ref="C33:E33" si="11">1-(C22/B22)</f>
        <v>0.38112305854241346</v>
      </c>
      <c r="D33" s="38">
        <f t="shared" si="11"/>
        <v>0.57335907335907332</v>
      </c>
      <c r="E33" s="38">
        <f t="shared" si="11"/>
        <v>0.92307692307692313</v>
      </c>
      <c r="F33" s="3" t="s">
        <v>17</v>
      </c>
      <c r="G33" s="3"/>
      <c r="H33" s="3"/>
      <c r="I33" s="3"/>
    </row>
    <row r="34" spans="1:9" ht="12.75" x14ac:dyDescent="0.2">
      <c r="A34" s="41"/>
      <c r="B34" s="38">
        <f t="shared" si="4"/>
        <v>0.19099999999999995</v>
      </c>
      <c r="C34" s="38">
        <f t="shared" ref="C34:E34" si="12">1-(C23/B23)</f>
        <v>0.39307787391841786</v>
      </c>
      <c r="D34" s="38">
        <f t="shared" si="12"/>
        <v>0.54989816700610994</v>
      </c>
      <c r="E34" s="38">
        <f t="shared" si="12"/>
        <v>0.90497737556561086</v>
      </c>
      <c r="F34" s="3" t="s">
        <v>24</v>
      </c>
      <c r="G34" s="3"/>
      <c r="H34" s="3"/>
      <c r="I34" s="3"/>
    </row>
    <row r="35" spans="1:9" ht="12.75" x14ac:dyDescent="0.2">
      <c r="A35" s="41"/>
      <c r="B35" s="38">
        <f t="shared" si="4"/>
        <v>0.20900000000000007</v>
      </c>
      <c r="C35" s="38">
        <f t="shared" ref="C35:E35" si="13">1-(C24/B24)</f>
        <v>0.36788874841972186</v>
      </c>
      <c r="D35" s="38">
        <f t="shared" si="13"/>
        <v>0.58799999999999997</v>
      </c>
      <c r="E35" s="38">
        <f t="shared" si="13"/>
        <v>0.87864077669902918</v>
      </c>
      <c r="F35" s="3" t="s">
        <v>20</v>
      </c>
      <c r="G35" s="3"/>
      <c r="H35" s="3"/>
      <c r="I35" s="3"/>
    </row>
    <row r="36" spans="1:9" ht="12.75" x14ac:dyDescent="0.2">
      <c r="A36" s="41"/>
      <c r="B36" s="38">
        <f t="shared" si="4"/>
        <v>0.19200000000000006</v>
      </c>
      <c r="C36" s="38">
        <f t="shared" ref="C36:E36" si="14">1-(C25/B25)</f>
        <v>0.42079207920792083</v>
      </c>
      <c r="D36" s="38">
        <f t="shared" si="14"/>
        <v>0.58974358974358976</v>
      </c>
      <c r="E36" s="38">
        <f t="shared" si="14"/>
        <v>0.86979166666666663</v>
      </c>
      <c r="F36" s="3" t="s">
        <v>14</v>
      </c>
      <c r="G36" s="3"/>
      <c r="H36" s="3"/>
      <c r="I36" s="3"/>
    </row>
    <row r="37" spans="1:9" ht="12.75" x14ac:dyDescent="0.2">
      <c r="A37" s="3"/>
      <c r="B37" s="3"/>
      <c r="C37" s="38"/>
      <c r="D37" s="38"/>
      <c r="E37" s="38"/>
      <c r="F37" s="3"/>
      <c r="G37" s="3"/>
      <c r="H37" s="3"/>
      <c r="I37" s="3"/>
    </row>
    <row r="38" spans="1:9" ht="12.75" x14ac:dyDescent="0.2">
      <c r="A38" s="3"/>
      <c r="B38" s="3"/>
      <c r="C38" s="38"/>
      <c r="D38" s="38"/>
      <c r="E38" s="38"/>
      <c r="F38" s="3"/>
      <c r="G38" s="3"/>
      <c r="H38" s="3"/>
      <c r="I38" s="3"/>
    </row>
    <row r="39" spans="1:9" ht="12.75" x14ac:dyDescent="0.2">
      <c r="A39" s="3"/>
      <c r="B39" s="3"/>
      <c r="C39" s="38"/>
      <c r="D39" s="38"/>
      <c r="E39" s="38"/>
      <c r="F39" s="3"/>
      <c r="G39" s="3"/>
      <c r="H39" s="3"/>
      <c r="I39" s="3"/>
    </row>
    <row r="40" spans="1:9" ht="12.75" x14ac:dyDescent="0.2">
      <c r="A40" s="3"/>
      <c r="B40" s="3"/>
      <c r="C40" s="38"/>
      <c r="D40" s="38"/>
      <c r="E40" s="38"/>
      <c r="F40" s="3"/>
      <c r="G40" s="3"/>
      <c r="H40" s="3"/>
      <c r="I40" s="3"/>
    </row>
    <row r="41" spans="1:9" ht="12.75" x14ac:dyDescent="0.2">
      <c r="A41" s="3"/>
      <c r="B41" s="3"/>
      <c r="C41" s="38"/>
      <c r="D41" s="38"/>
      <c r="E41" s="38"/>
      <c r="F41" s="3"/>
      <c r="G41" s="3"/>
      <c r="H41" s="3"/>
      <c r="I41" s="3"/>
    </row>
    <row r="42" spans="1:9" ht="12.75" x14ac:dyDescent="0.2">
      <c r="A42" s="3"/>
      <c r="B42" s="3"/>
      <c r="C42" s="38"/>
      <c r="D42" s="38"/>
      <c r="E42" s="38"/>
      <c r="F42" s="3"/>
      <c r="G42" s="3"/>
      <c r="H42" s="3"/>
      <c r="I42" s="3"/>
    </row>
    <row r="43" spans="1:9" ht="12.75" x14ac:dyDescent="0.2">
      <c r="A43" s="3"/>
      <c r="B43" s="3"/>
      <c r="C43" s="38"/>
      <c r="D43" s="38"/>
      <c r="E43" s="38"/>
      <c r="F43" s="3"/>
      <c r="G43" s="3"/>
      <c r="H43" s="3"/>
      <c r="I43" s="3"/>
    </row>
    <row r="44" spans="1:9" ht="12.75" x14ac:dyDescent="0.2">
      <c r="A44" s="3"/>
      <c r="B44" s="3"/>
      <c r="C44" s="38"/>
      <c r="D44" s="38"/>
      <c r="E44" s="38"/>
      <c r="F44" s="3"/>
      <c r="G44" s="3"/>
      <c r="H44" s="3"/>
      <c r="I44" s="3"/>
    </row>
    <row r="45" spans="1:9" ht="12.75" x14ac:dyDescent="0.2">
      <c r="A45" s="3"/>
      <c r="B45" s="3"/>
      <c r="C45" s="38"/>
      <c r="D45" s="38"/>
      <c r="E45" s="38"/>
      <c r="F45" s="3"/>
      <c r="G45" s="3"/>
      <c r="H45" s="3"/>
      <c r="I45" s="3"/>
    </row>
    <row r="46" spans="1:9" ht="12.75" x14ac:dyDescent="0.2">
      <c r="A46" s="3"/>
      <c r="B46" s="3"/>
      <c r="C46" s="38"/>
      <c r="D46" s="38"/>
      <c r="E46" s="38"/>
      <c r="F46" s="3"/>
      <c r="G46" s="3"/>
      <c r="H46" s="3"/>
      <c r="I46" s="3"/>
    </row>
  </sheetData>
  <mergeCells count="1">
    <mergeCell ref="A27:A36"/>
  </mergeCells>
  <conditionalFormatting sqref="B2:E9 G2:I9">
    <cfRule type="colorScale" priority="1">
      <colorScale>
        <cfvo type="percent" val="0"/>
        <cfvo type="percent" val="50"/>
        <cfvo type="percent" val="100"/>
        <color rgb="FFEA4335"/>
        <color rgb="FFFFD666"/>
        <color rgb="FF34A853"/>
      </colorScale>
    </cfRule>
  </conditionalFormatting>
  <conditionalFormatting sqref="B16:E25">
    <cfRule type="colorScale" priority="2">
      <colorScale>
        <cfvo type="percent" val="0"/>
        <cfvo type="percent" val="50"/>
        <cfvo type="percent" val="100"/>
        <color rgb="FFEA4335"/>
        <color rgb="FFFFD666"/>
        <color rgb="FF34A853"/>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Informe Ejecutivo</vt:lpstr>
      <vt:lpstr>Embudo General</vt:lpstr>
      <vt:lpstr>Embudo General x Pais</vt:lpstr>
      <vt:lpstr>Retencion x Pais</vt:lpstr>
      <vt:lpstr>Retencion x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cp:lastModifiedBy>
  <dcterms:modified xsi:type="dcterms:W3CDTF">2026-09-26T02:45:58Z</dcterms:modified>
</cp:coreProperties>
</file>